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5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Dashboard_Metadata" sheetId="2" state="visible" r:id="rId2"/>
    <sheet xmlns:r="http://schemas.openxmlformats.org/officeDocument/2006/relationships" name="Executive_Summary" sheetId="3" state="visible" r:id="rId3"/>
    <sheet xmlns:r="http://schemas.openxmlformats.org/officeDocument/2006/relationships" name="Final_KPI_Values" sheetId="4" state="visible" r:id="rId4"/>
    <sheet xmlns:r="http://schemas.openxmlformats.org/officeDocument/2006/relationships" name="Defect_Pareto_Analysis" sheetId="5" state="visible" r:id="rId5"/>
    <sheet xmlns:r="http://schemas.openxmlformats.org/officeDocument/2006/relationships" name="Continuous_Improvement" sheetId="6" state="visible" r:id="rId6"/>
    <sheet xmlns:r="http://schemas.openxmlformats.org/officeDocument/2006/relationships" name="KPI_Calculations" sheetId="7" state="visible" r:id="rId7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1">
    <numFmt numFmtId="164" formatCode="0.0%"/>
  </numFmts>
  <fonts count="23">
    <font>
      <name val="Calibri"/>
      <charset val="1"/>
      <family val="2"/>
      <color theme="1"/>
      <sz val="11"/>
    </font>
    <font>
      <name val="Aptos"/>
      <charset val="1"/>
      <b val="1"/>
      <color rgb="FFFFFFFF"/>
      <sz val="26"/>
    </font>
    <font>
      <name val="Aptos"/>
      <charset val="1"/>
      <color rgb="FF404040"/>
      <sz val="12"/>
    </font>
    <font>
      <name val="Aptos"/>
      <charset val="1"/>
      <b val="1"/>
      <color rgb="FFFFFFFF"/>
      <sz val="12"/>
    </font>
    <font>
      <name val="Aptos"/>
      <charset val="1"/>
      <b val="1"/>
      <color rgb="FF1F4E79"/>
      <sz val="11"/>
    </font>
    <font>
      <name val="Aptos"/>
      <charset val="1"/>
      <b val="1"/>
      <color rgb="FF107C10"/>
      <sz val="28"/>
    </font>
    <font>
      <name val="Aptos"/>
      <charset val="1"/>
      <b val="1"/>
      <color rgb="FFD83B01"/>
      <sz val="28"/>
    </font>
    <font>
      <name val="Aptos"/>
      <charset val="1"/>
      <b val="1"/>
      <color rgb="FFCA5010"/>
      <sz val="28"/>
    </font>
    <font>
      <name val="Aptos"/>
      <charset val="1"/>
      <color rgb="FF808080"/>
      <sz val="10"/>
    </font>
    <font>
      <name val="Aptos"/>
      <charset val="1"/>
      <b val="1"/>
      <color rgb="FFFFFFFF"/>
      <sz val="11"/>
    </font>
    <font>
      <name val="Aptos"/>
      <charset val="1"/>
      <b val="1"/>
      <color rgb="FFFFFFFF"/>
      <sz val="10"/>
    </font>
    <font>
      <name val="Aptos"/>
      <charset val="1"/>
      <color rgb="FF333333"/>
      <sz val="10"/>
    </font>
    <font>
      <name val="Aptos"/>
      <charset val="1"/>
      <b val="1"/>
      <color rgb="FF1F4E79"/>
      <sz val="9"/>
    </font>
    <font>
      <name val="Aptos"/>
      <charset val="1"/>
      <color rgb="FF333333"/>
      <sz val="9"/>
    </font>
    <font>
      <name val="Calibri"/>
      <charset val="1"/>
      <b val="1"/>
      <color rgb="FFFFFFFF"/>
      <sz val="11"/>
    </font>
    <font>
      <name val="Calibri"/>
      <charset val="1"/>
      <b val="1"/>
      <sz val="10"/>
    </font>
    <font>
      <name val="Calibri"/>
      <charset val="1"/>
      <sz val="10"/>
    </font>
    <font>
      <name val="Calibri"/>
      <charset val="1"/>
      <b val="1"/>
      <color rgb="FFFFFFFF"/>
      <sz val="13"/>
    </font>
    <font>
      <name val="Calibri"/>
      <charset val="1"/>
      <i val="1"/>
      <sz val="9"/>
    </font>
    <font>
      <name val="Calibri"/>
      <charset val="1"/>
      <b val="1"/>
      <color rgb="FFFFFFFF"/>
      <sz val="10"/>
    </font>
    <font>
      <name val="Calibri"/>
      <charset val="1"/>
      <b val="1"/>
      <sz val="9"/>
    </font>
    <font>
      <name val="Calibri"/>
      <charset val="1"/>
      <sz val="9"/>
    </font>
    <font>
      <name val="Consolas"/>
      <charset val="1"/>
      <sz val="8.5"/>
    </font>
  </fonts>
  <fills count="12">
    <fill>
      <patternFill/>
    </fill>
    <fill>
      <patternFill patternType="gray125"/>
    </fill>
    <fill>
      <patternFill patternType="solid">
        <fgColor rgb="FF1F4E79"/>
        <bgColor rgb="FF2E5A8C"/>
      </patternFill>
    </fill>
    <fill>
      <patternFill patternType="solid">
        <fgColor rgb="FFE8E8E8"/>
        <bgColor rgb="FFF2F5F8"/>
      </patternFill>
    </fill>
    <fill>
      <patternFill patternType="solid">
        <fgColor rgb="FFF5F5F5"/>
        <bgColor rgb="FFF4F6F8"/>
      </patternFill>
    </fill>
    <fill>
      <patternFill patternType="solid">
        <fgColor rgb="FFFFFFFF"/>
        <bgColor rgb="FFF8F9FA"/>
      </patternFill>
    </fill>
    <fill>
      <patternFill patternType="solid">
        <fgColor rgb="FFF4F6F8"/>
        <bgColor rgb="FFF2F5F8"/>
      </patternFill>
    </fill>
    <fill>
      <patternFill patternType="solid">
        <fgColor rgb="FF2E5A8C"/>
        <bgColor rgb="FF1F4E79"/>
      </patternFill>
    </fill>
    <fill>
      <patternFill patternType="solid">
        <fgColor rgb="FFF8F9FA"/>
        <bgColor rgb="FFF4F6F8"/>
      </patternFill>
    </fill>
    <fill>
      <patternFill patternType="solid">
        <fgColor rgb="FF203764"/>
        <bgColor rgb="FF1F4E79"/>
      </patternFill>
    </fill>
    <fill>
      <patternFill patternType="solid">
        <fgColor rgb="FFF2F5FA"/>
        <bgColor rgb="FFF2F5F8"/>
      </patternFill>
    </fill>
    <fill>
      <patternFill patternType="solid">
        <fgColor rgb="FFF2F5F8"/>
        <bgColor rgb="FFF2F5FA"/>
      </patternFill>
    </fill>
  </fills>
  <borders count="34">
    <border>
      <left/>
      <right/>
      <top/>
      <bottom/>
      <diagonal/>
    </border>
    <border>
      <left style="thin">
        <color rgb="FFD8D8D8"/>
      </left>
      <right/>
      <top style="thin">
        <color rgb="FFD8D8D8"/>
      </top>
      <bottom/>
      <diagonal/>
    </border>
    <border>
      <left style="thin">
        <color rgb="FFD8D8D8"/>
      </left>
      <right style="thin">
        <color rgb="FFB0B0B0"/>
      </right>
      <top style="thin">
        <color rgb="FFD8D8D8"/>
      </top>
      <bottom/>
      <diagonal/>
    </border>
    <border>
      <left style="thin">
        <color rgb="FFD8D8D8"/>
      </left>
      <right/>
      <top/>
      <bottom/>
      <diagonal/>
    </border>
    <border>
      <left style="thin">
        <color rgb="FFD8D8D8"/>
      </left>
      <right style="thin">
        <color rgb="FFB0B0B0"/>
      </right>
      <top/>
      <bottom/>
      <diagonal/>
    </border>
    <border>
      <left style="thin">
        <color rgb="FFD8D8D8"/>
      </left>
      <right/>
      <top/>
      <bottom style="thin">
        <color rgb="FFB0B0B0"/>
      </bottom>
      <diagonal/>
    </border>
    <border>
      <left style="thin">
        <color rgb="FFD8D8D8"/>
      </left>
      <right style="thin">
        <color rgb="FFB0B0B0"/>
      </right>
      <top/>
      <bottom style="thin">
        <color rgb="FFB0B0B0"/>
      </bottom>
      <diagonal/>
    </border>
    <border>
      <left style="thin">
        <color rgb="FFD0D0D0"/>
      </left>
      <right style="thin">
        <color rgb="FFE8E8E8"/>
      </right>
      <top style="thin">
        <color rgb="FFD0D0D0"/>
      </top>
      <bottom style="thin">
        <color rgb="FFE8E8E8"/>
      </bottom>
      <diagonal/>
    </border>
    <border>
      <left style="thin">
        <color rgb="FFE8E8E8"/>
      </left>
      <right style="thin">
        <color rgb="FFD0D0D0"/>
      </right>
      <top style="thin">
        <color rgb="FFD0D0D0"/>
      </top>
      <bottom style="thin">
        <color rgb="FFE8E8E8"/>
      </bottom>
      <diagonal/>
    </border>
    <border>
      <left style="thin">
        <color rgb="FFD0D0D0"/>
      </left>
      <right style="thin">
        <color rgb="FFE8E8E8"/>
      </right>
      <top style="thin">
        <color rgb="FFE8E8E8"/>
      </top>
      <bottom style="thin">
        <color rgb="FFE8E8E8"/>
      </bottom>
      <diagonal/>
    </border>
    <border>
      <left style="thin">
        <color rgb="FFE8E8E8"/>
      </left>
      <right style="thin">
        <color rgb="FFD0D0D0"/>
      </right>
      <top style="thin">
        <color rgb="FFE8E8E8"/>
      </top>
      <bottom style="thin">
        <color rgb="FFE8E8E8"/>
      </bottom>
      <diagonal/>
    </border>
    <border>
      <left style="thin">
        <color rgb="FFD0D0D0"/>
      </left>
      <right style="thin">
        <color rgb="FFE8E8E8"/>
      </right>
      <top style="thin">
        <color rgb="FFE8E8E8"/>
      </top>
      <bottom style="thin">
        <color rgb="FFD0D0D0"/>
      </bottom>
      <diagonal/>
    </border>
    <border>
      <left style="thin">
        <color rgb="FFE8E8E8"/>
      </left>
      <right style="thin">
        <color rgb="FFD0D0D0"/>
      </right>
      <top style="thin">
        <color rgb="FFE8E8E8"/>
      </top>
      <bottom style="thin">
        <color rgb="FFD0D0D0"/>
      </bottom>
      <diagonal/>
    </border>
    <border>
      <left style="thin">
        <color rgb="FFE8E8E8"/>
      </left>
      <right style="thin">
        <color rgb="FFE8E8E8"/>
      </right>
      <top style="thin">
        <color rgb="FFD0D0D0"/>
      </top>
      <bottom style="thin">
        <color rgb="FFE8E8E8"/>
      </bottom>
      <diagonal/>
    </border>
    <border>
      <left style="thin">
        <color rgb="FFE8E8E8"/>
      </left>
      <right/>
      <top style="thin">
        <color rgb="FFD0D0D0"/>
      </top>
      <bottom style="thin">
        <color rgb="FFE8E8E8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/>
      <diagonal/>
    </border>
    <border>
      <left style="thin">
        <color rgb="FFE8E8E8"/>
      </left>
      <right style="thin">
        <color rgb="FFE8E8E8"/>
      </right>
      <top style="thin">
        <color rgb="FFE8E8E8"/>
      </top>
      <bottom style="thin">
        <color rgb="FFE8E8E8"/>
      </bottom>
      <diagonal/>
    </border>
    <border>
      <left style="thin">
        <color rgb="FFE8E8E8"/>
      </left>
      <right/>
      <top style="thin">
        <color rgb="FFE8E8E8"/>
      </top>
      <bottom style="thin">
        <color rgb="FFE8E8E8"/>
      </bottom>
      <diagonal/>
    </border>
    <border>
      <left style="thin">
        <color rgb="FFD0D0D0"/>
      </left>
      <right style="thin">
        <color rgb="FFD0D0D0"/>
      </right>
      <top/>
      <bottom/>
      <diagonal/>
    </border>
    <border>
      <left style="thin">
        <color rgb="FFD0D0D0"/>
      </left>
      <right style="thin">
        <color rgb="FFE8E8E8"/>
      </right>
      <top style="thin">
        <color rgb="FFE8E8E8"/>
      </top>
      <bottom/>
      <diagonal/>
    </border>
    <border>
      <left style="thin">
        <color rgb="FFE8E8E8"/>
      </left>
      <right style="thin">
        <color rgb="FFE8E8E8"/>
      </right>
      <top style="thin">
        <color rgb="FFE8E8E8"/>
      </top>
      <bottom/>
      <diagonal/>
    </border>
    <border>
      <left style="thin">
        <color rgb="FFE8E8E8"/>
      </left>
      <right/>
      <top style="thin">
        <color rgb="FFE8E8E8"/>
      </top>
      <bottom/>
      <diagonal/>
    </border>
    <border>
      <left/>
      <right/>
      <top style="thin">
        <color rgb="FFD0D0D0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 style="thin">
        <color rgb="FFD3D3D3"/>
      </bottom>
      <diagonal/>
    </border>
    <border>
      <left/>
      <right/>
      <top style="thin">
        <color rgb="FFD8D8D8"/>
      </top>
      <bottom/>
      <diagonal/>
    </border>
    <border>
      <left/>
      <right style="thin">
        <color rgb="FFB0B0B0"/>
      </right>
      <top style="thin">
        <color rgb="FFD8D8D8"/>
      </top>
      <bottom/>
      <diagonal/>
    </border>
    <border>
      <left/>
      <right style="thin">
        <color rgb="FFB0B0B0"/>
      </right>
      <top/>
      <bottom/>
      <diagonal/>
    </border>
    <border>
      <left/>
      <right/>
      <top/>
      <bottom style="thin">
        <color rgb="FFB0B0B0"/>
      </bottom>
      <diagonal/>
    </border>
    <border>
      <left/>
      <right style="thin">
        <color rgb="FFB0B0B0"/>
      </right>
      <top/>
      <bottom style="thin">
        <color rgb="FFB0B0B0"/>
      </bottom>
      <diagonal/>
    </border>
    <border>
      <left/>
      <right/>
      <top style="thin">
        <color rgb="FFD0D0D0"/>
      </top>
      <bottom/>
      <diagonal/>
    </border>
    <border>
      <left/>
      <right style="thin">
        <color rgb="FFD0D0D0"/>
      </right>
      <top style="thin">
        <color rgb="FFD0D0D0"/>
      </top>
      <bottom/>
      <diagonal/>
    </border>
    <border>
      <left/>
      <right style="thin">
        <color rgb="FFD0D0D0"/>
      </right>
      <top/>
      <bottom/>
      <diagonal/>
    </border>
  </borders>
  <cellStyleXfs count="1">
    <xf numFmtId="0" fontId="0" fillId="0" borderId="0"/>
  </cellStyleXfs>
  <cellXfs count="77">
    <xf numFmtId="0" fontId="0" fillId="0" borderId="0" pivotButton="0" quotePrefix="0" xfId="0"/>
    <xf numFmtId="0" fontId="0" fillId="4" borderId="0" pivotButton="0" quotePrefix="0" xfId="0"/>
    <xf numFmtId="0" fontId="0" fillId="6" borderId="0" pivotButton="0" quotePrefix="0" xfId="0"/>
    <xf numFmtId="0" fontId="10" fillId="7" borderId="7" applyAlignment="1" pivotButton="0" quotePrefix="0" xfId="0">
      <alignment horizontal="center" vertical="center"/>
    </xf>
    <xf numFmtId="0" fontId="10" fillId="7" borderId="8" applyAlignment="1" pivotButton="0" quotePrefix="0" xfId="0">
      <alignment horizontal="center" vertical="center"/>
    </xf>
    <xf numFmtId="0" fontId="11" fillId="5" borderId="9" applyAlignment="1" pivotButton="0" quotePrefix="0" xfId="0">
      <alignment horizontal="left" vertical="center" indent="1"/>
    </xf>
    <xf numFmtId="0" fontId="11" fillId="5" borderId="10" applyAlignment="1" pivotButton="0" quotePrefix="0" xfId="0">
      <alignment horizontal="center" vertical="center"/>
    </xf>
    <xf numFmtId="0" fontId="11" fillId="8" borderId="9" applyAlignment="1" pivotButton="0" quotePrefix="0" xfId="0">
      <alignment horizontal="left" vertical="center" indent="1"/>
    </xf>
    <xf numFmtId="0" fontId="11" fillId="8" borderId="10" applyAlignment="1" pivotButton="0" quotePrefix="0" xfId="0">
      <alignment horizontal="center" vertical="center"/>
    </xf>
    <xf numFmtId="0" fontId="11" fillId="8" borderId="11" applyAlignment="1" pivotButton="0" quotePrefix="0" xfId="0">
      <alignment horizontal="left" vertical="center" indent="1"/>
    </xf>
    <xf numFmtId="0" fontId="11" fillId="8" borderId="12" applyAlignment="1" pivotButton="0" quotePrefix="0" xfId="0">
      <alignment horizontal="center" vertical="center"/>
    </xf>
    <xf numFmtId="0" fontId="10" fillId="7" borderId="13" applyAlignment="1" pivotButton="0" quotePrefix="0" xfId="0">
      <alignment horizontal="center" vertical="center"/>
    </xf>
    <xf numFmtId="0" fontId="10" fillId="7" borderId="14" applyAlignment="1" pivotButton="0" quotePrefix="0" xfId="0">
      <alignment horizontal="center" vertical="center"/>
    </xf>
    <xf numFmtId="0" fontId="12" fillId="5" borderId="9" applyAlignment="1" pivotButton="0" quotePrefix="0" xfId="0">
      <alignment horizontal="center" vertical="center" wrapText="1"/>
    </xf>
    <xf numFmtId="0" fontId="13" fillId="5" borderId="16" applyAlignment="1" pivotButton="0" quotePrefix="0" xfId="0">
      <alignment horizontal="left" vertical="center" wrapText="1"/>
    </xf>
    <xf numFmtId="0" fontId="13" fillId="5" borderId="17" applyAlignment="1" pivotButton="0" quotePrefix="0" xfId="0">
      <alignment horizontal="left" vertical="center" wrapText="1"/>
    </xf>
    <xf numFmtId="0" fontId="12" fillId="8" borderId="9" applyAlignment="1" pivotButton="0" quotePrefix="0" xfId="0">
      <alignment horizontal="center" vertical="center" wrapText="1"/>
    </xf>
    <xf numFmtId="0" fontId="13" fillId="8" borderId="16" applyAlignment="1" pivotButton="0" quotePrefix="0" xfId="0">
      <alignment horizontal="left" vertical="center" wrapText="1"/>
    </xf>
    <xf numFmtId="0" fontId="13" fillId="8" borderId="17" applyAlignment="1" pivotButton="0" quotePrefix="0" xfId="0">
      <alignment horizontal="left" vertical="center" wrapText="1"/>
    </xf>
    <xf numFmtId="0" fontId="12" fillId="5" borderId="19" applyAlignment="1" pivotButton="0" quotePrefix="0" xfId="0">
      <alignment horizontal="center" vertical="center" wrapText="1"/>
    </xf>
    <xf numFmtId="0" fontId="13" fillId="5" borderId="20" applyAlignment="1" pivotButton="0" quotePrefix="0" xfId="0">
      <alignment horizontal="left" vertical="center" wrapText="1"/>
    </xf>
    <xf numFmtId="0" fontId="13" fillId="5" borderId="21" applyAlignment="1" pivotButton="0" quotePrefix="0" xfId="0">
      <alignment horizontal="left" vertical="center" wrapText="1"/>
    </xf>
    <xf numFmtId="0" fontId="0" fillId="4" borderId="22" pivotButton="0" quotePrefix="0" xfId="0"/>
    <xf numFmtId="0" fontId="14" fillId="9" borderId="24" applyAlignment="1" pivotButton="0" quotePrefix="0" xfId="0">
      <alignment horizontal="center" vertical="center"/>
    </xf>
    <xf numFmtId="0" fontId="0" fillId="10" borderId="24" applyAlignment="1" pivotButton="0" quotePrefix="0" xfId="0">
      <alignment vertical="center" wrapText="1"/>
    </xf>
    <xf numFmtId="0" fontId="0" fillId="0" borderId="24" applyAlignment="1" pivotButton="0" quotePrefix="0" xfId="0">
      <alignment vertical="center" wrapText="1"/>
    </xf>
    <xf numFmtId="0" fontId="15" fillId="0" borderId="0" applyAlignment="1" pivotButton="0" quotePrefix="0" xfId="0">
      <alignment vertical="top" wrapText="1"/>
    </xf>
    <xf numFmtId="0" fontId="16" fillId="0" borderId="0" applyAlignment="1" pivotButton="0" quotePrefix="0" xfId="0">
      <alignment vertical="top" wrapText="1"/>
    </xf>
    <xf numFmtId="164" fontId="0" fillId="0" borderId="24" applyAlignment="1" pivotButton="0" quotePrefix="0" xfId="0">
      <alignment vertical="center" wrapText="1"/>
    </xf>
    <xf numFmtId="164" fontId="0" fillId="10" borderId="24" applyAlignment="1" pivotButton="0" quotePrefix="0" xfId="0">
      <alignment vertical="center" wrapText="1"/>
    </xf>
    <xf numFmtId="0" fontId="19" fillId="9" borderId="0" applyAlignment="1" pivotButton="0" quotePrefix="0" xfId="0">
      <alignment horizontal="left" vertical="center" wrapText="1"/>
    </xf>
    <xf numFmtId="0" fontId="20" fillId="11" borderId="25" applyAlignment="1" pivotButton="0" quotePrefix="0" xfId="0">
      <alignment horizontal="left" vertical="top" wrapText="1"/>
    </xf>
    <xf numFmtId="0" fontId="21" fillId="11" borderId="25" applyAlignment="1" pivotButton="0" quotePrefix="0" xfId="0">
      <alignment horizontal="left" vertical="top" wrapText="1"/>
    </xf>
    <xf numFmtId="0" fontId="22" fillId="11" borderId="25" applyAlignment="1" pivotButton="0" quotePrefix="0" xfId="0">
      <alignment horizontal="left" vertical="top" wrapText="1"/>
    </xf>
    <xf numFmtId="0" fontId="21" fillId="11" borderId="25" applyAlignment="1" pivotButton="0" quotePrefix="0" xfId="0">
      <alignment horizontal="center" vertical="top" wrapText="1"/>
    </xf>
    <xf numFmtId="2" fontId="21" fillId="11" borderId="25" applyAlignment="1" pivotButton="0" quotePrefix="0" xfId="0">
      <alignment horizontal="center" vertical="top" wrapText="1"/>
    </xf>
    <xf numFmtId="0" fontId="20" fillId="5" borderId="25" applyAlignment="1" pivotButton="0" quotePrefix="0" xfId="0">
      <alignment horizontal="left" vertical="top" wrapText="1"/>
    </xf>
    <xf numFmtId="0" fontId="21" fillId="5" borderId="25" applyAlignment="1" pivotButton="0" quotePrefix="0" xfId="0">
      <alignment horizontal="left" vertical="top" wrapText="1"/>
    </xf>
    <xf numFmtId="0" fontId="22" fillId="5" borderId="25" applyAlignment="1" pivotButton="0" quotePrefix="0" xfId="0">
      <alignment horizontal="left" vertical="top" wrapText="1"/>
    </xf>
    <xf numFmtId="0" fontId="21" fillId="5" borderId="25" applyAlignment="1" pivotButton="0" quotePrefix="0" xfId="0">
      <alignment horizontal="center" vertical="top" wrapText="1"/>
    </xf>
    <xf numFmtId="9" fontId="21" fillId="5" borderId="25" applyAlignment="1" pivotButton="0" quotePrefix="0" xfId="0">
      <alignment horizontal="center" vertical="top" wrapText="1"/>
    </xf>
    <xf numFmtId="9" fontId="21" fillId="11" borderId="25" applyAlignment="1" pivotButton="0" quotePrefix="0" xfId="0">
      <alignment horizontal="center" vertical="top" wrapText="1"/>
    </xf>
    <xf numFmtId="0" fontId="20" fillId="11" borderId="25" applyAlignment="1" pivotButton="0" quotePrefix="0" xfId="0">
      <alignment vertical="top" wrapText="1"/>
    </xf>
    <xf numFmtId="0" fontId="20" fillId="5" borderId="25" applyAlignment="1" pivotButton="0" quotePrefix="0" xfId="0">
      <alignment vertical="top" wrapText="1"/>
    </xf>
    <xf numFmtId="9" fontId="5" fillId="5" borderId="4" applyAlignment="1" pivotButton="0" quotePrefix="0" xfId="0">
      <alignment horizontal="center" vertical="center"/>
    </xf>
    <xf numFmtId="0" fontId="0" fillId="0" borderId="28" pivotButton="0" quotePrefix="0" xfId="0"/>
    <xf numFmtId="0" fontId="4" fillId="5" borderId="1" applyAlignment="1" pivotButton="0" quotePrefix="0" xfId="0">
      <alignment horizontal="center" vertical="center"/>
    </xf>
    <xf numFmtId="0" fontId="0" fillId="0" borderId="26" pivotButton="0" quotePrefix="0" xfId="0"/>
    <xf numFmtId="0" fontId="8" fillId="4" borderId="23" applyAlignment="1" pivotButton="0" quotePrefix="0" xfId="0">
      <alignment horizontal="left" vertical="center" indent="1"/>
    </xf>
    <xf numFmtId="0" fontId="0" fillId="0" borderId="23" pivotButton="0" quotePrefix="0" xfId="0"/>
    <xf numFmtId="0" fontId="11" fillId="5" borderId="18" applyAlignment="1" pivotButton="0" quotePrefix="0" xfId="0">
      <alignment horizontal="left" vertical="center" indent="1"/>
    </xf>
    <xf numFmtId="0" fontId="0" fillId="0" borderId="0" pivotButton="0" quotePrefix="0" xfId="0"/>
    <xf numFmtId="0" fontId="0" fillId="0" borderId="33" pivotButton="0" quotePrefix="0" xfId="0"/>
    <xf numFmtId="0" fontId="9" fillId="2" borderId="0" applyAlignment="1" pivotButton="0" quotePrefix="0" xfId="0">
      <alignment horizontal="center" vertical="center"/>
    </xf>
    <xf numFmtId="9" fontId="7" fillId="5" borderId="4" applyAlignment="1" pivotButton="0" quotePrefix="0" xfId="0">
      <alignment horizontal="center" vertical="center"/>
    </xf>
    <xf numFmtId="0" fontId="8" fillId="5" borderId="6" applyAlignment="1" pivotButton="0" quotePrefix="0" xfId="0">
      <alignment horizontal="center" vertical="center"/>
    </xf>
    <xf numFmtId="0" fontId="0" fillId="0" borderId="30" pivotButton="0" quotePrefix="0" xfId="0"/>
    <xf numFmtId="0" fontId="8" fillId="5" borderId="5" applyAlignment="1" pivotButton="0" quotePrefix="0" xfId="0">
      <alignment horizontal="center" vertical="center"/>
    </xf>
    <xf numFmtId="0" fontId="0" fillId="0" borderId="29" pivotButton="0" quotePrefix="0" xfId="0"/>
    <xf numFmtId="9" fontId="5" fillId="5" borderId="3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4" fillId="5" borderId="2" applyAlignment="1" pivotButton="0" quotePrefix="0" xfId="0">
      <alignment horizontal="center" vertical="center"/>
    </xf>
    <xf numFmtId="0" fontId="0" fillId="0" borderId="27" pivotButton="0" quotePrefix="0" xfId="0"/>
    <xf numFmtId="0" fontId="11" fillId="5" borderId="15" applyAlignment="1" pivotButton="0" quotePrefix="0" xfId="0">
      <alignment horizontal="left" vertical="center" indent="1"/>
    </xf>
    <xf numFmtId="0" fontId="0" fillId="0" borderId="31" pivotButton="0" quotePrefix="0" xfId="0"/>
    <xf numFmtId="0" fontId="0" fillId="0" borderId="32" pivotButton="0" quotePrefix="0" xfId="0"/>
    <xf numFmtId="0" fontId="3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2" fontId="5" fillId="5" borderId="3" applyAlignment="1" pivotButton="0" quotePrefix="0" xfId="0">
      <alignment horizontal="center" vertical="center"/>
    </xf>
    <xf numFmtId="9" fontId="6" fillId="5" borderId="3" applyAlignment="1" pivotButton="0" quotePrefix="0" xfId="0">
      <alignment horizontal="center" vertical="center"/>
    </xf>
    <xf numFmtId="0" fontId="14" fillId="9" borderId="0" applyAlignment="1" pivotButton="0" quotePrefix="0" xfId="0">
      <alignment vertical="center" indent="1"/>
    </xf>
    <xf numFmtId="0" fontId="18" fillId="0" borderId="0" applyAlignment="1" pivotButton="0" quotePrefix="0" xfId="0">
      <alignment vertical="center" wrapText="1"/>
    </xf>
    <xf numFmtId="0" fontId="21" fillId="11" borderId="25" applyAlignment="1" pivotButton="0" quotePrefix="0" xfId="0">
      <alignment vertical="top" wrapText="1"/>
    </xf>
    <xf numFmtId="0" fontId="0" fillId="0" borderId="25" pivotButton="0" quotePrefix="0" xfId="0"/>
    <xf numFmtId="0" fontId="21" fillId="5" borderId="25" applyAlignment="1" pivotButton="0" quotePrefix="0" xfId="0">
      <alignment vertical="top" wrapText="1"/>
    </xf>
    <xf numFmtId="0" fontId="17" fillId="9" borderId="0" applyAlignment="1" pivotButton="0" quotePrefix="0" xfId="0">
      <alignment vertical="center" indent="1"/>
    </xf>
    <xf numFmtId="0" fontId="19" fillId="9" borderId="0" applyAlignment="1" pivotButton="0" quotePrefix="0" xfId="0">
      <alignment vertical="center" inden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4F6F8"/>
      <rgbColor rgb="FFFF00FF"/>
      <rgbColor rgb="FF00FFFF"/>
      <rgbColor rgb="FF800000"/>
      <rgbColor rgb="FF107C10"/>
      <rgbColor rgb="FF000080"/>
      <rgbColor rgb="FF8AA64F"/>
      <rgbColor rgb="FF800080"/>
      <rgbColor rgb="FF4F81BD"/>
      <rgbColor rgb="FFCCCCCC"/>
      <rgbColor rgb="FF808080"/>
      <rgbColor rgb="FF93A9CE"/>
      <rgbColor rgb="FFAB4744"/>
      <rgbColor rgb="FFF8F9FA"/>
      <rgbColor rgb="FFF2F5FA"/>
      <rgbColor rgb="FF660066"/>
      <rgbColor rgb="FFDC853E"/>
      <rgbColor rgb="FF2E5A8C"/>
      <rgbColor rgb="FFD3D3D3"/>
      <rgbColor rgb="FF000080"/>
      <rgbColor rgb="FFFF00FF"/>
      <rgbColor rgb="FFFFFF00"/>
      <rgbColor rgb="FF00FFFF"/>
      <rgbColor rgb="FF800080"/>
      <rgbColor rgb="FF800000"/>
      <rgbColor rgb="FF595959"/>
      <rgbColor rgb="FF0000FF"/>
      <rgbColor rgb="FF00CCFF"/>
      <rgbColor rgb="FFF2F5F8"/>
      <rgbColor rgb="FFE8E8E8"/>
      <rgbColor rgb="FFF5F5F5"/>
      <rgbColor rgb="FFD0D0D0"/>
      <rgbColor rgb="FFD09493"/>
      <rgbColor rgb="FFB0B0B0"/>
      <rgbColor rgb="FFD8D8D8"/>
      <rgbColor rgb="FF4672A8"/>
      <rgbColor rgb="FF33CCCC"/>
      <rgbColor rgb="FF99CC00"/>
      <rgbColor rgb="FFD9D9D9"/>
      <rgbColor rgb="FFFF9900"/>
      <rgbColor rgb="FFED7D31"/>
      <rgbColor rgb="FF725990"/>
      <rgbColor rgb="FF878787"/>
      <rgbColor rgb="FF203764"/>
      <rgbColor rgb="FF4299B0"/>
      <rgbColor rgb="FF666666"/>
      <rgbColor rgb="FF404040"/>
      <rgbColor rgb="FFD83B01"/>
      <rgbColor rgb="FFCA5010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lang="en-US" sz="1100" b="1" strike="noStrike" spc="-1">
                <a:solidFill>
                  <a:srgbClr val="1F4E79"/>
                </a:solidFill>
                <a:latin typeface="Aptos"/>
                <a:ea typeface="Aptos"/>
              </a:defRPr>
            </a:pPr>
            <a:r>
              <a:rPr lang="en-US" sz="1100" b="1" strike="noStrike" spc="-1">
                <a:solidFill>
                  <a:srgbClr val="1F4E79"/>
                </a:solidFill>
                <a:latin typeface="Aptos"/>
                <a:ea typeface="Aptos"/>
              </a:rPr>
              <a:t>Top AI Response Errors (Pareto Analysis)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tx>
            <strRef>
              <f>Defect_Pareto_Analysis!$B$1</f>
              <strCache>
                <ptCount val="1"/>
                <pt idx="0">
                  <v>Defect Volume</v>
                </pt>
              </strCache>
            </strRef>
          </tx>
          <spPr>
            <a:solidFill xmlns:a="http://schemas.openxmlformats.org/drawingml/2006/main">
              <a:srgbClr val="1F4E79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800" b="0" strike="noStrike" spc="-1">
                    <a:solidFill>
                      <a:srgbClr val="404040"/>
                    </a:solidFill>
                    <a:latin typeface="Aptos"/>
                    <a:ea typeface="Apto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1"/>
            <showLeaderLines val="0"/>
          </dLbls>
          <cat>
            <strRef>
              <f>Defect_Pareto_Analysis!$A$2:$A$9</f>
              <strCache>
                <ptCount val="8"/>
                <pt idx="0">
                  <v>Incorrect Facts</v>
                </pt>
                <pt idx="1">
                  <v>Safety Violation</v>
                </pt>
                <pt idx="2">
                  <v>Hallucination</v>
                </pt>
                <pt idx="3">
                  <v>Bias</v>
                </pt>
                <pt idx="4">
                  <v>Policy Violation</v>
                </pt>
                <pt idx="5">
                  <v>Tone Issue</v>
                </pt>
                <pt idx="6">
                  <v>Incomplete Answer</v>
                </pt>
                <pt idx="7">
                  <v>Instruction Following Failure</v>
                </pt>
              </strCache>
            </strRef>
          </cat>
          <val>
            <numRef>
              <f>Defect_Pareto_Analysis!$B$2:$B$9</f>
              <numCache>
                <formatCode>General</formatCode>
                <ptCount val="8"/>
                <pt idx="0">
                  <v>14</v>
                </pt>
                <pt idx="1">
                  <v>7</v>
                </pt>
                <pt idx="2">
                  <v>4</v>
                </pt>
                <pt idx="3">
                  <v>4</v>
                </pt>
                <pt idx="4">
                  <v>2</v>
                </pt>
                <pt idx="5">
                  <v>1</v>
                </pt>
                <pt idx="6">
                  <v>1</v>
                </pt>
                <pt idx="7">
                  <v>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92433339"/>
        <axId val="32461632"/>
      </barChart>
      <lineChart>
        <grouping val="standard"/>
        <varyColors val="0"/>
        <ser>
          <idx val="1"/>
          <order val="1"/>
          <tx>
            <v>Cumulative %</v>
          </tx>
          <spPr>
            <a:ln xmlns:a="http://schemas.openxmlformats.org/drawingml/2006/main" w="31680" cap="rnd">
              <a:solidFill>
                <a:srgbClr val="ED7D31"/>
              </a:solidFill>
              <a:prstDash val="solid"/>
              <a:round/>
            </a:ln>
          </spPr>
          <marker>
            <symbol val="circle"/>
            <size val="7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  <a:endParaRPr lang="en-US"/>
              </a:p>
            </txPr>
            <dLblPos val="r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Defect_Pareto_Analysis!$A$2:$A$9</f>
              <strCache>
                <ptCount val="8"/>
                <pt idx="0">
                  <v>Incorrect Facts</v>
                </pt>
                <pt idx="1">
                  <v>Safety Violation</v>
                </pt>
                <pt idx="2">
                  <v>Hallucination</v>
                </pt>
                <pt idx="3">
                  <v>Bias</v>
                </pt>
                <pt idx="4">
                  <v>Policy Violation</v>
                </pt>
                <pt idx="5">
                  <v>Tone Issue</v>
                </pt>
                <pt idx="6">
                  <v>Incomplete Answer</v>
                </pt>
                <pt idx="7">
                  <v>Instruction Following Failure</v>
                </pt>
              </strCache>
            </strRef>
          </cat>
          <val>
            <numRef>
              <f>Defect_Pareto_Analysis!$D$2:$D$9</f>
              <numCache>
                <formatCode>0.0%</formatCode>
                <ptCount val="8"/>
                <pt idx="0">
                  <v>0.4117</v>
                </pt>
                <pt idx="1">
                  <v>0.6176</v>
                </pt>
                <pt idx="2">
                  <v>0.7352</v>
                </pt>
                <pt idx="3">
                  <v>0.8529</v>
                </pt>
                <pt idx="4">
                  <v>0.9117</v>
                </pt>
                <pt idx="5">
                  <v>0.9411</v>
                </pt>
                <pt idx="6">
                  <v>0.9705</v>
                </pt>
                <pt idx="7">
                  <v>1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hiLowLines>
          <spPr>
            <a:ln xmlns:a="http://schemas.openxmlformats.org/drawingml/2006/main" w="0">
              <a:noFill/>
              <a:prstDash val="solid"/>
            </a:ln>
          </spPr>
        </hiLowLines>
        <marker val="1"/>
        <smooth val="0"/>
        <axId val="73068785"/>
        <axId val="51398693"/>
      </lineChart>
      <catAx>
        <axId val="92433339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D0D0D0"/>
            </a:solidFill>
            <a:prstDash val="solid"/>
            <a:round/>
          </a:ln>
        </spPr>
        <txPr>
          <a:bodyPr xmlns:a="http://schemas.openxmlformats.org/drawingml/2006/main" rot="2700000"/>
          <a:lstStyle xmlns:a="http://schemas.openxmlformats.org/drawingml/2006/main"/>
          <a:p xmlns:a="http://schemas.openxmlformats.org/drawingml/2006/main">
            <a:pPr>
              <a:defRPr sz="800" b="0" strike="noStrike" spc="-1">
                <a:solidFill>
                  <a:srgbClr val="666666"/>
                </a:solidFill>
                <a:latin typeface="Aptos"/>
                <a:ea typeface="Aptos"/>
              </a:defRPr>
            </a:pPr>
            <a:r>
              <a:t/>
            </a:r>
            <a:endParaRPr lang="en-US"/>
          </a:p>
        </txPr>
        <crossAx val="32461632"/>
        <crosses val="autoZero"/>
        <auto val="1"/>
        <lblAlgn val="ctr"/>
        <lblOffset val="100"/>
        <noMultiLvlLbl val="0"/>
      </catAx>
      <valAx>
        <axId val="32461632"/>
        <scaling>
          <orientation val="minMax"/>
        </scaling>
        <delete val="0"/>
        <axPos val="l"/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D0D0D0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666666"/>
                </a:solidFill>
                <a:latin typeface="Aptos"/>
                <a:ea typeface="Aptos"/>
              </a:defRPr>
            </a:pPr>
            <a:r>
              <a:t/>
            </a:r>
            <a:endParaRPr lang="en-US"/>
          </a:p>
        </txPr>
        <crossAx val="92433339"/>
        <crosses val="autoZero"/>
        <crossBetween val="between"/>
      </valAx>
      <catAx>
        <axId val="73068785"/>
        <scaling>
          <orientation val="minMax"/>
        </scaling>
        <delete val="1"/>
        <axPos val="b"/>
        <numFmt formatCode="General" sourceLinked="1"/>
        <majorTickMark val="out"/>
        <minorTickMark val="none"/>
        <tickLblPos val="nextTo"/>
        <crossAx val="51398693"/>
        <crosses val="autoZero"/>
        <auto val="1"/>
        <lblAlgn val="ctr"/>
        <lblOffset val="100"/>
        <noMultiLvlLbl val="0"/>
      </catAx>
      <valAx>
        <axId val="51398693"/>
        <scaling>
          <orientation val="minMax"/>
          <max val="1"/>
          <min val="0"/>
        </scaling>
        <delete val="0"/>
        <axPos val="r"/>
        <numFmt formatCode="0%" sourceLinked="0"/>
        <majorTickMark val="out"/>
        <minorTickMark val="none"/>
        <tickLblPos val="nextTo"/>
        <spPr>
          <a:ln xmlns:a="http://schemas.openxmlformats.org/drawingml/2006/main" w="9360">
            <a:solidFill>
              <a:srgbClr val="D0D0D0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Aptos"/>
                <a:ea typeface="Aptos"/>
              </a:defRPr>
            </a:pPr>
            <a:r>
              <a:t/>
            </a:r>
            <a:endParaRPr lang="en-US"/>
          </a:p>
        </txPr>
        <crossAx val="73068785"/>
        <crosses val="max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900" b="0" strike="noStrike" spc="-1">
              <a:solidFill>
                <a:srgbClr val="595959"/>
              </a:solidFill>
              <a:latin typeface="Aptos"/>
              <a:ea typeface="Apto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25560">
      <a:noFill/>
      <a:prstDash val="solid"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lang="en-IN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Defect Pareto Breakdown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/>
      <barChart>
        <barDir val="col"/>
        <grouping val="clustered"/>
        <varyColors val="1"/>
        <ser>
          <idx val="0"/>
          <order val="0"/>
          <tx>
            <strRef>
              <f>Defect_Pareto_Analysis!$B$1</f>
              <strCache>
                <ptCount val="1"/>
                <pt idx="0">
                  <v>Defect Volume</v>
                </pt>
              </strCache>
            </strRef>
          </tx>
          <spPr>
            <a:solidFill xmlns:a="http://schemas.openxmlformats.org/drawingml/2006/main">
              <a:srgbClr val="4F81BD"/>
            </a:solidFill>
            <a:ln xmlns:a="http://schemas.openxmlformats.org/drawingml/2006/main" w="0">
              <a:noFill/>
              <a:prstDash val="solid"/>
            </a:ln>
          </spPr>
          <invertIfNegative val="0"/>
          <dPt>
            <idx val="0"/>
            <invertIfNegative val="1"/>
            <bubble3D val="0"/>
            <spPr>
              <a:solidFill xmlns:a="http://schemas.openxmlformats.org/drawingml/2006/main">
                <a:srgbClr val="4672A8"/>
              </a:solidFill>
              <a:ln xmlns:a="http://schemas.openxmlformats.org/drawingml/2006/main" w="0">
                <a:noFill/>
                <a:prstDash val="solid"/>
              </a:ln>
            </spPr>
          </dPt>
          <dPt>
            <idx val="1"/>
            <invertIfNegative val="1"/>
            <bubble3D val="0"/>
            <spPr>
              <a:solidFill xmlns:a="http://schemas.openxmlformats.org/drawingml/2006/main">
                <a:srgbClr val="AB4744"/>
              </a:solidFill>
              <a:ln xmlns:a="http://schemas.openxmlformats.org/drawingml/2006/main" w="0">
                <a:noFill/>
                <a:prstDash val="solid"/>
              </a:ln>
            </spPr>
          </dPt>
          <dPt>
            <idx val="2"/>
            <invertIfNegative val="1"/>
            <bubble3D val="0"/>
            <spPr>
              <a:solidFill xmlns:a="http://schemas.openxmlformats.org/drawingml/2006/main">
                <a:srgbClr val="8AA64F"/>
              </a:solidFill>
              <a:ln xmlns:a="http://schemas.openxmlformats.org/drawingml/2006/main" w="0">
                <a:noFill/>
                <a:prstDash val="solid"/>
              </a:ln>
            </spPr>
          </dPt>
          <dPt>
            <idx val="3"/>
            <invertIfNegative val="1"/>
            <bubble3D val="0"/>
            <spPr>
              <a:solidFill xmlns:a="http://schemas.openxmlformats.org/drawingml/2006/main">
                <a:srgbClr val="725990"/>
              </a:solidFill>
              <a:ln xmlns:a="http://schemas.openxmlformats.org/drawingml/2006/main" w="0">
                <a:noFill/>
                <a:prstDash val="solid"/>
              </a:ln>
            </spPr>
          </dPt>
          <dPt>
            <idx val="4"/>
            <invertIfNegative val="1"/>
            <bubble3D val="0"/>
            <spPr>
              <a:solidFill xmlns:a="http://schemas.openxmlformats.org/drawingml/2006/main">
                <a:srgbClr val="4299B0"/>
              </a:solidFill>
              <a:ln xmlns:a="http://schemas.openxmlformats.org/drawingml/2006/main" w="0">
                <a:noFill/>
                <a:prstDash val="solid"/>
              </a:ln>
            </spPr>
          </dPt>
          <dPt>
            <idx val="5"/>
            <invertIfNegative val="1"/>
            <bubble3D val="0"/>
            <spPr>
              <a:solidFill xmlns:a="http://schemas.openxmlformats.org/drawingml/2006/main">
                <a:srgbClr val="DC853E"/>
              </a:solidFill>
              <a:ln xmlns:a="http://schemas.openxmlformats.org/drawingml/2006/main" w="0">
                <a:noFill/>
                <a:prstDash val="solid"/>
              </a:ln>
            </spPr>
          </dPt>
          <dPt>
            <idx val="6"/>
            <invertIfNegative val="1"/>
            <bubble3D val="0"/>
            <spPr>
              <a:solidFill xmlns:a="http://schemas.openxmlformats.org/drawingml/2006/main">
                <a:srgbClr val="93A9CE"/>
              </a:solidFill>
              <a:ln xmlns:a="http://schemas.openxmlformats.org/drawingml/2006/main" w="0">
                <a:noFill/>
                <a:prstDash val="solid"/>
              </a:ln>
            </spPr>
          </dPt>
          <dPt>
            <idx val="7"/>
            <invertIfNegative val="1"/>
            <bubble3D val="0"/>
            <spPr>
              <a:solidFill xmlns:a="http://schemas.openxmlformats.org/drawingml/2006/main">
                <a:srgbClr val="D09493"/>
              </a:solidFill>
              <a:ln xmlns:a="http://schemas.openxmlformats.org/drawingml/2006/main" w="0">
                <a:noFill/>
                <a:prstDash val="solid"/>
              </a:ln>
            </spPr>
          </dPt>
          <dLbls>
            <dLbl>
              <idx val="0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0"/>
              <showCatName val="0"/>
              <showSerName val="0"/>
              <showPercent val="0"/>
              <showBubbleSize val="1"/>
            </dLbl>
            <dLbl>
              <idx val="1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0"/>
              <showCatName val="0"/>
              <showSerName val="0"/>
              <showPercent val="0"/>
              <showBubbleSize val="1"/>
            </dLbl>
            <dLbl>
              <idx val="2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0"/>
              <showCatName val="0"/>
              <showSerName val="0"/>
              <showPercent val="0"/>
              <showBubbleSize val="1"/>
            </dLbl>
            <dLbl>
              <idx val="3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0"/>
              <showCatName val="0"/>
              <showSerName val="0"/>
              <showPercent val="0"/>
              <showBubbleSize val="1"/>
            </dLbl>
            <dLbl>
              <idx val="4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0"/>
              <showCatName val="0"/>
              <showSerName val="0"/>
              <showPercent val="0"/>
              <showBubbleSize val="1"/>
            </dLbl>
            <dLbl>
              <idx val="5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0"/>
              <showCatName val="0"/>
              <showSerName val="0"/>
              <showPercent val="0"/>
              <showBubbleSize val="1"/>
            </dLbl>
            <dLbl>
              <idx val="6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0"/>
              <showCatName val="0"/>
              <showSerName val="0"/>
              <showPercent val="0"/>
              <showBubbleSize val="1"/>
            </dLbl>
            <dLbl>
              <idx val="7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0"/>
              <showCatName val="0"/>
              <showSerName val="0"/>
              <showPercent val="0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Defect_Pareto_Analysis!$A$2:$A$9</f>
              <strCache>
                <ptCount val="8"/>
                <pt idx="0">
                  <v>Incorrect Facts</v>
                </pt>
                <pt idx="1">
                  <v>Safety Violation</v>
                </pt>
                <pt idx="2">
                  <v>Hallucination</v>
                </pt>
                <pt idx="3">
                  <v>Bias</v>
                </pt>
                <pt idx="4">
                  <v>Policy Violation</v>
                </pt>
                <pt idx="5">
                  <v>Tone Issue</v>
                </pt>
                <pt idx="6">
                  <v>Incomplete Answer</v>
                </pt>
                <pt idx="7">
                  <v>Instruction Following Failure</v>
                </pt>
              </strCache>
            </strRef>
          </cat>
          <val>
            <numRef>
              <f>Defect_Pareto_Analysis!$B$2:$B$9</f>
              <numCache>
                <formatCode>General</formatCode>
                <ptCount val="8"/>
                <pt idx="0">
                  <v>14</v>
                </pt>
                <pt idx="1">
                  <v>7</v>
                </pt>
                <pt idx="2">
                  <v>4</v>
                </pt>
                <pt idx="3">
                  <v>4</v>
                </pt>
                <pt idx="4">
                  <v>2</v>
                </pt>
                <pt idx="5">
                  <v>1</v>
                </pt>
                <pt idx="6">
                  <v>1</v>
                </pt>
                <pt idx="7">
                  <v>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55737466"/>
        <axId val="88798226"/>
      </barChart>
      <catAx>
        <axId val="55737466"/>
        <scaling>
          <orientation val="minMax"/>
        </scaling>
        <delete val="1"/>
        <axPos val="b"/>
        <title>
          <tx>
            <rich>
              <a:bodyPr xmlns:a="http://schemas.openxmlformats.org/drawingml/2006/main" rot="0"/>
              <a:lstStyle xmlns:a="http://schemas.openxmlformats.org/drawingml/2006/main"/>
              <a:p xmlns:a="http://schemas.openxmlformats.org/drawingml/2006/main">
                <a:pPr>
                  <a:defRPr lang="en-IN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Error Category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crossAx val="88798226"/>
        <crosses val="autoZero"/>
        <auto val="1"/>
        <lblAlgn val="ctr"/>
        <lblOffset val="100"/>
        <noMultiLvlLbl val="0"/>
      </catAx>
      <valAx>
        <axId val="88798226"/>
        <scaling>
          <orientation val="minMax"/>
        </scaling>
        <delete val="1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lang="en-IN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Volume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crossAx val="55737466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twoCellAnchor editAs="oneCell">
    <from>
      <col>0</col>
      <colOff>63360</colOff>
      <row>15</row>
      <rowOff>0</rowOff>
    </from>
    <to>
      <col>3</col>
      <colOff>1087200</colOff>
      <row>22</row>
      <rowOff>48600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2.xml><?xml version="1.0" encoding="utf-8"?>
<wsDr xmlns="http://schemas.openxmlformats.org/drawingml/2006/spreadsheetDrawing">
  <twoCellAnchor editAs="oneCell">
    <from>
      <col>5</col>
      <colOff>0</colOff>
      <row>1</row>
      <rowOff>0</rowOff>
    </from>
    <to>
      <col>15</col>
      <colOff>362880</colOff>
      <row>20</row>
      <rowOff>159480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"/>
  <sheetViews>
    <sheetView showGridLines="0" showRowColHeaders="0" tabSelected="1" zoomScaleNormal="100" workbookViewId="0">
      <selection activeCell="A1" sqref="A1:H2"/>
    </sheetView>
  </sheetViews>
  <sheetFormatPr baseColWidth="8" defaultColWidth="8.6328125" defaultRowHeight="14.5"/>
  <cols>
    <col width="15.453125" customWidth="1" style="51" min="1" max="2"/>
    <col width="27.26953125" customWidth="1" style="51" min="3" max="3"/>
    <col width="15.453125" customWidth="1" style="51" min="4" max="4"/>
    <col width="30" customWidth="1" style="51" min="5" max="5"/>
    <col width="9.08984375" customWidth="1" style="51" min="6" max="6"/>
    <col width="15.453125" customWidth="1" style="51" min="7" max="8"/>
  </cols>
  <sheetData>
    <row r="1" ht="45" customHeight="1" s="51">
      <c r="A1" s="67" t="inlineStr">
        <is>
          <t>AI Response Quality Evaluation Dashboard</t>
        </is>
      </c>
    </row>
    <row r="2" ht="45" customHeight="1" s="51"/>
    <row r="3" ht="30" customHeight="1" s="51">
      <c r="A3" s="60" t="inlineStr">
        <is>
          <t>AI Quality Evaluation Framework  |  Version 1.0  |  July 2026</t>
        </is>
      </c>
    </row>
    <row r="4" ht="12" customHeight="1" s="51">
      <c r="A4" s="1" t="n"/>
      <c r="B4" s="1" t="n"/>
      <c r="C4" s="1" t="n"/>
      <c r="D4" s="1" t="n"/>
      <c r="E4" s="1" t="n"/>
      <c r="F4" s="1" t="n"/>
      <c r="G4" s="1" t="n"/>
      <c r="H4" s="1" t="n"/>
    </row>
    <row r="5" ht="27.75" customHeight="1" s="51">
      <c r="A5" s="66" t="inlineStr">
        <is>
          <t>KEY PERFORMANCE INDICATORS</t>
        </is>
      </c>
    </row>
    <row r="6" ht="9.75" customHeight="1" s="51">
      <c r="A6" s="1" t="n"/>
      <c r="B6" s="1" t="n"/>
      <c r="C6" s="1" t="n"/>
      <c r="D6" s="1" t="n"/>
      <c r="E6" s="1" t="n"/>
      <c r="F6" s="1" t="n"/>
      <c r="G6" s="1" t="n"/>
      <c r="H6" s="1" t="n"/>
    </row>
    <row r="7" ht="27.75" customHeight="1" s="51">
      <c r="A7" s="46" t="inlineStr">
        <is>
          <t>✓ Overall Quality Score</t>
        </is>
      </c>
      <c r="B7" s="47" t="n"/>
      <c r="C7" s="46" t="inlineStr">
        <is>
          <t>✗ Accuracy Rate</t>
        </is>
      </c>
      <c r="D7" s="47" t="n"/>
      <c r="E7" s="61" t="inlineStr">
        <is>
          <t>◐ Safety Compliance Rate</t>
        </is>
      </c>
      <c r="F7" s="62" t="n"/>
      <c r="G7" s="1" t="n"/>
      <c r="H7" s="1" t="n"/>
    </row>
    <row r="8" ht="49.5" customHeight="1" s="51">
      <c r="A8" s="68">
        <f>Final_KPI_Values!B2</f>
        <v/>
      </c>
      <c r="C8" s="69">
        <f>Final_KPI_Values!B3</f>
        <v/>
      </c>
      <c r="E8" s="54">
        <f>Final_KPI_Values!B5</f>
        <v/>
      </c>
      <c r="F8" s="45" t="n"/>
      <c r="G8" s="1" t="n"/>
      <c r="H8" s="1" t="n"/>
    </row>
    <row r="9" ht="21.75" customHeight="1" s="51">
      <c r="A9" s="57" t="inlineStr">
        <is>
          <t>Target: &gt;= 4.0</t>
        </is>
      </c>
      <c r="B9" s="58" t="n"/>
      <c r="C9" s="57" t="inlineStr">
        <is>
          <t>Target: &gt;= 85.0%</t>
        </is>
      </c>
      <c r="D9" s="58" t="n"/>
      <c r="E9" s="55" t="inlineStr">
        <is>
          <t>Target: &gt;= 95.0%</t>
        </is>
      </c>
      <c r="F9" s="56" t="n"/>
      <c r="G9" s="1" t="n"/>
      <c r="H9" s="1" t="n"/>
    </row>
    <row r="10" ht="12" customHeight="1" s="51">
      <c r="A10" s="1" t="n"/>
      <c r="B10" s="1" t="n"/>
      <c r="C10" s="1" t="n"/>
      <c r="D10" s="1" t="n"/>
      <c r="E10" s="1" t="n"/>
      <c r="F10" s="1" t="n"/>
      <c r="G10" s="1" t="n"/>
      <c r="H10" s="1" t="n"/>
    </row>
    <row r="11" ht="27.75" customHeight="1" s="51">
      <c r="A11" s="46" t="inlineStr">
        <is>
          <t>✓ Hallucination Rate</t>
        </is>
      </c>
      <c r="B11" s="47" t="n"/>
      <c r="C11" s="46" t="inlineStr">
        <is>
          <t>✓ Calibration Agreement Rate</t>
        </is>
      </c>
      <c r="D11" s="47" t="n"/>
      <c r="E11" s="61" t="inlineStr">
        <is>
          <t>✓ Error Rate</t>
        </is>
      </c>
      <c r="F11" s="62" t="n"/>
      <c r="G11" s="1" t="n"/>
      <c r="H11" s="1" t="n"/>
    </row>
    <row r="12" ht="49.5" customHeight="1" s="51">
      <c r="A12" s="59">
        <f>Final_KPI_Values!B4</f>
        <v/>
      </c>
      <c r="C12" s="59">
        <f>Final_KPI_Values!B6</f>
        <v/>
      </c>
      <c r="E12" s="44">
        <f>Final_KPI_Values!B7</f>
        <v/>
      </c>
      <c r="F12" s="45" t="n"/>
      <c r="G12" s="1" t="n"/>
      <c r="H12" s="1" t="n"/>
    </row>
    <row r="13" ht="21.75" customHeight="1" s="51">
      <c r="A13" s="57" t="inlineStr">
        <is>
          <t>Target: &lt; 10.0%</t>
        </is>
      </c>
      <c r="B13" s="58" t="n"/>
      <c r="C13" s="57" t="inlineStr">
        <is>
          <t>Target: &gt;= 85.0%</t>
        </is>
      </c>
      <c r="D13" s="58" t="n"/>
      <c r="E13" s="55" t="inlineStr">
        <is>
          <t>Target: &lt; 50.0%</t>
        </is>
      </c>
      <c r="F13" s="56" t="n"/>
      <c r="G13" s="1" t="n"/>
      <c r="H13" s="1" t="n"/>
    </row>
    <row r="14" ht="15" customHeight="1" s="51">
      <c r="A14" s="1" t="n"/>
      <c r="B14" s="1" t="n"/>
      <c r="C14" s="1" t="n"/>
      <c r="D14" s="1" t="n"/>
      <c r="E14" s="1" t="n"/>
      <c r="F14" s="1" t="n"/>
      <c r="G14" s="1" t="n"/>
      <c r="H14" s="1" t="n"/>
    </row>
    <row r="15" ht="27.75" customHeight="1" s="51">
      <c r="A15" s="53" t="inlineStr">
        <is>
          <t>TOP AI RESPONSE ERRORS (PARETO ANALYSIS)</t>
        </is>
      </c>
      <c r="E15" s="53" t="inlineStr">
        <is>
          <t>ERROR DISTRIBUTION</t>
        </is>
      </c>
    </row>
    <row r="16" ht="21.75" customHeight="1" s="51">
      <c r="A16" s="2" t="n"/>
      <c r="B16" s="2" t="n"/>
      <c r="C16" s="2" t="n"/>
      <c r="D16" s="2" t="n"/>
      <c r="E16" s="3" t="inlineStr">
        <is>
          <t>Error Category</t>
        </is>
      </c>
      <c r="F16" s="4" t="inlineStr">
        <is>
          <t>Count</t>
        </is>
      </c>
      <c r="G16" s="1" t="n"/>
      <c r="H16" s="1" t="n"/>
    </row>
    <row r="17" ht="21.75" customHeight="1" s="51">
      <c r="A17" s="2" t="n"/>
      <c r="B17" s="2" t="n"/>
      <c r="C17" s="2" t="n"/>
      <c r="D17" s="2" t="n"/>
      <c r="E17" s="5">
        <f>Defect_Pareto_Analysis!A2</f>
        <v/>
      </c>
      <c r="F17" s="6">
        <f>Defect_Pareto_Analysis!B2</f>
        <v/>
      </c>
      <c r="G17" s="1" t="n"/>
      <c r="H17" s="1" t="n"/>
    </row>
    <row r="18" ht="21.75" customHeight="1" s="51">
      <c r="A18" s="2" t="n"/>
      <c r="B18" s="2" t="n"/>
      <c r="C18" s="2" t="n"/>
      <c r="D18" s="2" t="n"/>
      <c r="E18" s="7">
        <f>Defect_Pareto_Analysis!A3</f>
        <v/>
      </c>
      <c r="F18" s="8">
        <f>Defect_Pareto_Analysis!B3</f>
        <v/>
      </c>
      <c r="G18" s="1" t="n"/>
      <c r="H18" s="1" t="n"/>
    </row>
    <row r="19" ht="21.75" customHeight="1" s="51">
      <c r="A19" s="2" t="n"/>
      <c r="B19" s="2" t="n"/>
      <c r="C19" s="2" t="n"/>
      <c r="D19" s="2" t="n"/>
      <c r="E19" s="5">
        <f>Defect_Pareto_Analysis!A4</f>
        <v/>
      </c>
      <c r="F19" s="6">
        <f>Defect_Pareto_Analysis!B4</f>
        <v/>
      </c>
      <c r="G19" s="1" t="n"/>
      <c r="H19" s="1" t="n"/>
    </row>
    <row r="20" ht="21.75" customHeight="1" s="51">
      <c r="A20" s="2" t="n"/>
      <c r="B20" s="2" t="n"/>
      <c r="C20" s="2" t="n"/>
      <c r="D20" s="2" t="n"/>
      <c r="E20" s="7">
        <f>Defect_Pareto_Analysis!A5</f>
        <v/>
      </c>
      <c r="F20" s="8">
        <f>Defect_Pareto_Analysis!B5</f>
        <v/>
      </c>
      <c r="G20" s="1" t="n"/>
      <c r="H20" s="1" t="n"/>
    </row>
    <row r="21" ht="21.75" customHeight="1" s="51">
      <c r="A21" s="2" t="n"/>
      <c r="B21" s="2" t="n"/>
      <c r="C21" s="2" t="n"/>
      <c r="D21" s="2" t="n"/>
      <c r="E21" s="5">
        <f>Defect_Pareto_Analysis!A6</f>
        <v/>
      </c>
      <c r="F21" s="6">
        <f>Defect_Pareto_Analysis!B6</f>
        <v/>
      </c>
      <c r="G21" s="1" t="n"/>
      <c r="H21" s="1" t="n"/>
    </row>
    <row r="22" ht="21.75" customHeight="1" s="51">
      <c r="A22" s="2" t="n"/>
      <c r="B22" s="2" t="n"/>
      <c r="C22" s="2" t="n"/>
      <c r="D22" s="2" t="n"/>
      <c r="E22" s="7">
        <f>Defect_Pareto_Analysis!A7</f>
        <v/>
      </c>
      <c r="F22" s="8">
        <f>Defect_Pareto_Analysis!B7</f>
        <v/>
      </c>
      <c r="G22" s="1" t="n"/>
      <c r="H22" s="1" t="n"/>
    </row>
    <row r="23" ht="21.75" customHeight="1" s="51">
      <c r="A23" s="2" t="n"/>
      <c r="B23" s="2" t="n"/>
      <c r="C23" s="2" t="n"/>
      <c r="D23" s="2" t="n"/>
      <c r="E23" s="5">
        <f>Defect_Pareto_Analysis!A8</f>
        <v/>
      </c>
      <c r="F23" s="6">
        <f>Defect_Pareto_Analysis!B8</f>
        <v/>
      </c>
      <c r="G23" s="1" t="n"/>
      <c r="H23" s="1" t="n"/>
    </row>
    <row r="24" ht="21.75" customHeight="1" s="51">
      <c r="A24" s="2" t="n"/>
      <c r="B24" s="2" t="n"/>
      <c r="C24" s="2" t="n"/>
      <c r="D24" s="2" t="n"/>
      <c r="E24" s="9">
        <f>Defect_Pareto_Analysis!A9</f>
        <v/>
      </c>
      <c r="F24" s="10">
        <f>Defect_Pareto_Analysis!B9</f>
        <v/>
      </c>
      <c r="G24" s="1" t="n"/>
      <c r="H24" s="1" t="n"/>
    </row>
    <row r="25" ht="4.5" customHeight="1" s="51">
      <c r="A25" s="1" t="n"/>
      <c r="B25" s="1" t="n"/>
      <c r="C25" s="1" t="n"/>
      <c r="D25" s="1" t="n"/>
      <c r="E25" s="1" t="n"/>
      <c r="F25" s="1" t="n"/>
      <c r="G25" s="1" t="n"/>
      <c r="H25" s="1" t="n"/>
    </row>
    <row r="26" ht="4.5" customHeight="1" s="51">
      <c r="A26" s="1" t="n"/>
      <c r="B26" s="1" t="n"/>
      <c r="C26" s="1" t="n"/>
      <c r="D26" s="1" t="n"/>
      <c r="E26" s="1" t="n"/>
      <c r="F26" s="1" t="n"/>
      <c r="G26" s="1" t="n"/>
      <c r="H26" s="1" t="n"/>
    </row>
    <row r="27" ht="15" customHeight="1" s="51">
      <c r="A27" s="1" t="n"/>
      <c r="B27" s="1" t="n"/>
      <c r="C27" s="1" t="n"/>
      <c r="D27" s="1" t="n"/>
      <c r="E27" s="1" t="n"/>
      <c r="F27" s="1" t="n"/>
      <c r="G27" s="1" t="n"/>
      <c r="H27" s="1" t="n"/>
    </row>
    <row r="28" ht="27.75" customHeight="1" s="51">
      <c r="A28" s="53" t="inlineStr">
        <is>
          <t>CONTINUOUS IMPROVEMENT ACTIONS</t>
        </is>
      </c>
      <c r="E28" s="53" t="inlineStr">
        <is>
          <t>KEY INSIGHTS</t>
        </is>
      </c>
    </row>
    <row r="29" ht="24" customHeight="1" s="51">
      <c r="A29" s="3" t="inlineStr">
        <is>
          <t>Phase</t>
        </is>
      </c>
      <c r="B29" s="11" t="inlineStr">
        <is>
          <t>Focus Area</t>
        </is>
      </c>
      <c r="C29" s="11" t="inlineStr">
        <is>
          <t>Action Plan</t>
        </is>
      </c>
      <c r="D29" s="12" t="inlineStr">
        <is>
          <t>Methodology</t>
        </is>
      </c>
      <c r="E29" s="63" t="inlineStr">
        <is>
          <t>• Incorrect Facts remain the most common quality issue.</t>
        </is>
      </c>
      <c r="F29" s="64" t="n"/>
      <c r="G29" s="64" t="n"/>
      <c r="H29" s="65" t="n"/>
    </row>
    <row r="30" ht="31.5" customHeight="1" s="51">
      <c r="A30" s="13">
        <f>Continuous_Improvement!A2</f>
        <v/>
      </c>
      <c r="B30" s="14">
        <f>Continuous_Improvement!B2</f>
        <v/>
      </c>
      <c r="C30" s="14">
        <f>"Establish CTQ benchmarks; target 85% accuracy (now 66%)"</f>
        <v/>
      </c>
      <c r="D30" s="15">
        <f>Continuous_Improvement!D2</f>
        <v/>
      </c>
      <c r="E30" s="50" t="inlineStr">
        <is>
          <t>• Safety Violations remain below the acceptable threshold.</t>
        </is>
      </c>
      <c r="H30" s="52" t="n"/>
    </row>
    <row r="31" ht="31.5" customHeight="1" s="51">
      <c r="A31" s="16">
        <f>Continuous_Improvement!A3</f>
        <v/>
      </c>
      <c r="B31" s="17">
        <f>Continuous_Improvement!B3</f>
        <v/>
      </c>
      <c r="C31" s="17">
        <f>"Monitor 88% calibration rate with reliability tests"</f>
        <v/>
      </c>
      <c r="D31" s="18">
        <f>Continuous_Improvement!D3</f>
        <v/>
      </c>
      <c r="E31" s="50" t="inlineStr">
        <is>
          <t>• Hallucination frequency is low and continues to be monitored.</t>
        </is>
      </c>
      <c r="H31" s="52" t="n"/>
    </row>
    <row r="32" ht="31.5" customHeight="1" s="51">
      <c r="A32" s="13">
        <f>Continuous_Improvement!A4</f>
        <v/>
      </c>
      <c r="B32" s="14">
        <f>Continuous_Improvement!B4</f>
        <v/>
      </c>
      <c r="C32" s="14">
        <f>"Investigate 14 Incorrect Facts &amp; 7 Safety Violations"</f>
        <v/>
      </c>
      <c r="D32" s="15">
        <f>Continuous_Improvement!D4</f>
        <v/>
      </c>
      <c r="E32" s="50" t="inlineStr">
        <is>
          <t>• Reviewer calibration exceeded the target agreement rate.</t>
        </is>
      </c>
      <c r="H32" s="52" t="n"/>
    </row>
    <row r="33" ht="31.5" customHeight="1" s="51">
      <c r="A33" s="16">
        <f>Continuous_Improvement!A5</f>
        <v/>
      </c>
      <c r="B33" s="17">
        <f>Continuous_Improvement!B5</f>
        <v/>
      </c>
      <c r="C33" s="17">
        <f>"Build automated webhook for accuracy drop alerts"</f>
        <v/>
      </c>
      <c r="D33" s="18">
        <f>Continuous_Improvement!D5</f>
        <v/>
      </c>
      <c r="E33" s="50" t="inlineStr">
        <is>
          <t>• Continuous improvement actions documented for recurring issues.</t>
        </is>
      </c>
      <c r="H33" s="52" t="n"/>
    </row>
    <row r="34" ht="31.5" customHeight="1" s="51">
      <c r="A34" s="19">
        <f>Continuous_Improvement!A6</f>
        <v/>
      </c>
      <c r="B34" s="20">
        <f>Continuous_Improvement!B6</f>
        <v/>
      </c>
      <c r="C34" s="20">
        <f>"Finalize AI Quality Dashboard for monitoring"</f>
        <v/>
      </c>
      <c r="D34" s="21">
        <f>Continuous_Improvement!D6</f>
        <v/>
      </c>
      <c r="E34" s="50" t="n"/>
      <c r="H34" s="52" t="n"/>
    </row>
    <row r="35" ht="15" customHeight="1" s="51">
      <c r="A35" s="22" t="n"/>
      <c r="B35" s="22" t="n"/>
      <c r="C35" s="22" t="n"/>
      <c r="D35" s="22" t="n"/>
      <c r="E35" s="22" t="n"/>
      <c r="F35" s="22" t="n"/>
      <c r="G35" s="22" t="n"/>
      <c r="H35" s="22" t="n"/>
    </row>
    <row r="36" ht="27.75" customHeight="1" s="51">
      <c r="A36" s="48" t="inlineStr">
        <is>
          <t>Prepared by  Poulami Roy Chowdhury   |   AI Quality Evaluation Portfolio   |   July 2026</t>
        </is>
      </c>
      <c r="B36" s="49" t="n"/>
      <c r="C36" s="49" t="n"/>
      <c r="D36" s="49" t="n"/>
      <c r="E36" s="49" t="n"/>
      <c r="F36" s="49" t="n"/>
      <c r="G36" s="49" t="n"/>
      <c r="H36" s="49" t="n"/>
    </row>
    <row r="37" ht="14.25" customHeight="1" s="51">
      <c r="A37" s="1" t="n"/>
      <c r="B37" s="1" t="n"/>
      <c r="C37" s="1" t="n"/>
      <c r="D37" s="1" t="n"/>
      <c r="E37" s="1" t="n"/>
      <c r="F37" s="1" t="n"/>
      <c r="G37" s="1" t="n"/>
      <c r="H37" s="1" t="n"/>
    </row>
    <row r="38" ht="14.25" customHeight="1" s="51">
      <c r="A38" s="1" t="n"/>
      <c r="B38" s="1" t="n"/>
      <c r="C38" s="1" t="n"/>
      <c r="D38" s="1" t="n"/>
      <c r="E38" s="1" t="n"/>
      <c r="F38" s="1" t="n"/>
      <c r="G38" s="1" t="n"/>
      <c r="H38" s="1" t="n"/>
    </row>
    <row r="39" ht="14.25" customHeight="1" s="51">
      <c r="A39" s="1" t="n"/>
      <c r="B39" s="1" t="n"/>
      <c r="C39" s="1" t="n"/>
      <c r="D39" s="1" t="n"/>
      <c r="E39" s="1" t="n"/>
      <c r="F39" s="1" t="n"/>
      <c r="G39" s="1" t="n"/>
      <c r="H39" s="1" t="n"/>
    </row>
    <row r="40" ht="14.25" customHeight="1" s="51">
      <c r="A40" s="1" t="n"/>
      <c r="B40" s="1" t="n"/>
      <c r="C40" s="1" t="n"/>
      <c r="D40" s="1" t="n"/>
      <c r="E40" s="1" t="n"/>
      <c r="F40" s="1" t="n"/>
      <c r="G40" s="1" t="n"/>
      <c r="H40" s="1" t="n"/>
    </row>
    <row r="41" ht="14.25" customHeight="1" s="51">
      <c r="A41" s="1" t="n"/>
      <c r="B41" s="1" t="n"/>
      <c r="C41" s="1" t="n"/>
      <c r="D41" s="1" t="n"/>
      <c r="E41" s="1" t="n"/>
      <c r="F41" s="1" t="n"/>
      <c r="G41" s="1" t="n"/>
      <c r="H41" s="1" t="n"/>
    </row>
    <row r="42" ht="14.25" customHeight="1" s="51">
      <c r="A42" s="1" t="n"/>
      <c r="B42" s="1" t="n"/>
      <c r="C42" s="1" t="n"/>
      <c r="D42" s="1" t="n"/>
      <c r="E42" s="1" t="n"/>
      <c r="F42" s="1" t="n"/>
      <c r="G42" s="1" t="n"/>
      <c r="H42" s="1" t="n"/>
    </row>
    <row r="43" ht="14.25" customHeight="1" s="51">
      <c r="A43" s="1" t="n"/>
      <c r="B43" s="1" t="n"/>
      <c r="C43" s="1" t="n"/>
      <c r="D43" s="1" t="n"/>
      <c r="E43" s="1" t="n"/>
      <c r="F43" s="1" t="n"/>
      <c r="G43" s="1" t="n"/>
      <c r="H43" s="1" t="n"/>
    </row>
    <row r="44" ht="14.25" customHeight="1" s="51">
      <c r="A44" s="1" t="n"/>
      <c r="B44" s="1" t="n"/>
      <c r="C44" s="1" t="n"/>
      <c r="D44" s="1" t="n"/>
      <c r="E44" s="1" t="n"/>
      <c r="F44" s="1" t="n"/>
      <c r="G44" s="1" t="n"/>
      <c r="H44" s="1" t="n"/>
    </row>
    <row r="45" ht="14.25" customHeight="1" s="51">
      <c r="A45" s="1" t="n"/>
      <c r="B45" s="1" t="n"/>
      <c r="C45" s="1" t="n"/>
      <c r="D45" s="1" t="n"/>
      <c r="E45" s="1" t="n"/>
      <c r="F45" s="1" t="n"/>
      <c r="G45" s="1" t="n"/>
      <c r="H45" s="1" t="n"/>
    </row>
    <row r="46" ht="14.25" customHeight="1" s="51">
      <c r="A46" s="1" t="n"/>
      <c r="B46" s="1" t="n"/>
      <c r="C46" s="1" t="n"/>
      <c r="D46" s="1" t="n"/>
      <c r="E46" s="1" t="n"/>
      <c r="F46" s="1" t="n"/>
      <c r="G46" s="1" t="n"/>
      <c r="H46" s="1" t="n"/>
    </row>
    <row r="47" ht="14.25" customHeight="1" s="51">
      <c r="A47" s="1" t="n"/>
      <c r="B47" s="1" t="n"/>
      <c r="C47" s="1" t="n"/>
      <c r="D47" s="1" t="n"/>
      <c r="E47" s="1" t="n"/>
      <c r="F47" s="1" t="n"/>
      <c r="G47" s="1" t="n"/>
      <c r="H47" s="1" t="n"/>
    </row>
    <row r="48" ht="14.25" customHeight="1" s="51">
      <c r="A48" s="1" t="n"/>
      <c r="B48" s="1" t="n"/>
      <c r="C48" s="1" t="n"/>
      <c r="D48" s="1" t="n"/>
      <c r="E48" s="1" t="n"/>
      <c r="F48" s="1" t="n"/>
      <c r="G48" s="1" t="n"/>
      <c r="H48" s="1" t="n"/>
    </row>
    <row r="49" ht="14.25" customHeight="1" s="51">
      <c r="A49" s="1" t="n"/>
      <c r="B49" s="1" t="n"/>
      <c r="C49" s="1" t="n"/>
      <c r="D49" s="1" t="n"/>
      <c r="E49" s="1" t="n"/>
      <c r="F49" s="1" t="n"/>
      <c r="G49" s="1" t="n"/>
      <c r="H49" s="1" t="n"/>
    </row>
    <row r="50" ht="14.25" customHeight="1" s="51">
      <c r="A50" s="1" t="n"/>
      <c r="B50" s="1" t="n"/>
      <c r="C50" s="1" t="n"/>
      <c r="D50" s="1" t="n"/>
      <c r="E50" s="1" t="n"/>
      <c r="F50" s="1" t="n"/>
      <c r="G50" s="1" t="n"/>
      <c r="H50" s="1" t="n"/>
    </row>
  </sheetData>
  <mergeCells count="32">
    <mergeCell ref="E12:F12"/>
    <mergeCell ref="A11:B11"/>
    <mergeCell ref="A36:H36"/>
    <mergeCell ref="A28:D28"/>
    <mergeCell ref="E32:H32"/>
    <mergeCell ref="E8:F8"/>
    <mergeCell ref="A7:B7"/>
    <mergeCell ref="A15:D15"/>
    <mergeCell ref="E13:F13"/>
    <mergeCell ref="C9:D9"/>
    <mergeCell ref="E33:H33"/>
    <mergeCell ref="E9:F9"/>
    <mergeCell ref="A12:B12"/>
    <mergeCell ref="C12:D12"/>
    <mergeCell ref="A3:H3"/>
    <mergeCell ref="C11:D11"/>
    <mergeCell ref="E11:F11"/>
    <mergeCell ref="E29:H29"/>
    <mergeCell ref="A5:H5"/>
    <mergeCell ref="A1:H2"/>
    <mergeCell ref="A8:B8"/>
    <mergeCell ref="E28:H28"/>
    <mergeCell ref="C8:D8"/>
    <mergeCell ref="C7:D7"/>
    <mergeCell ref="E31:H31"/>
    <mergeCell ref="E7:F7"/>
    <mergeCell ref="E34:H34"/>
    <mergeCell ref="E30:H30"/>
    <mergeCell ref="A13:B13"/>
    <mergeCell ref="E15:H15"/>
    <mergeCell ref="C13:D13"/>
    <mergeCell ref="A9:B9"/>
  </mergeCells>
  <printOptions horizontalCentered="1"/>
  <pageMargins left="0.00694444444444445" right="0.00694444444444445" top="0.00555555555555556" bottom="0.00555555555555556" header="0.511811023622047" footer="0.511811023622047"/>
  <pageSetup orientation="landscape" horizontalDpi="300" verticalDpi="30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showRowColHeaders="0" zoomScaleNormal="100" workbookViewId="0">
      <pane ySplit="1" topLeftCell="A2" activePane="bottomLeft" state="frozen"/>
      <selection pane="bottomLeft" activeCell="A1" sqref="A1"/>
    </sheetView>
  </sheetViews>
  <sheetFormatPr baseColWidth="8" defaultColWidth="8.6328125" defaultRowHeight="14.5"/>
  <cols>
    <col width="30" customWidth="1" style="51" min="1" max="1"/>
    <col width="88" customWidth="1" style="51" min="2" max="2"/>
  </cols>
  <sheetData>
    <row r="1" ht="14.25" customHeight="1" s="51">
      <c r="A1" s="23" t="inlineStr">
        <is>
          <t>Field</t>
        </is>
      </c>
      <c r="B1" s="23" t="inlineStr">
        <is>
          <t>Value</t>
        </is>
      </c>
    </row>
    <row r="2" ht="14.25" customHeight="1" s="51">
      <c r="A2" s="24" t="inlineStr">
        <is>
          <t>Dashboard Name</t>
        </is>
      </c>
      <c r="B2" s="24" t="inlineStr">
        <is>
          <t>AI Quality Evaluation Framework Dashboard</t>
        </is>
      </c>
    </row>
    <row r="3" ht="14.25" customHeight="1" s="51">
      <c r="A3" s="25" t="inlineStr">
        <is>
          <t>Portfolio Type</t>
        </is>
      </c>
      <c r="B3" s="25" t="inlineStr">
        <is>
          <t>Portfolio Simulation</t>
        </is>
      </c>
    </row>
    <row r="4" ht="14.25" customHeight="1" s="51">
      <c r="A4" s="24" t="inlineStr">
        <is>
          <t>Primary Dataset</t>
        </is>
      </c>
      <c r="B4" s="24" t="inlineStr">
        <is>
          <t>AI Response Evaluation Dataset (100 Responses)</t>
        </is>
      </c>
    </row>
    <row r="5" ht="14.25" customHeight="1" s="51">
      <c r="A5" s="25" t="inlineStr">
        <is>
          <t>Calibration Dataset</t>
        </is>
      </c>
      <c r="B5" s="25" t="inlineStr">
        <is>
          <t>Reviewer Calibration Dataset (25 Responses)</t>
        </is>
      </c>
    </row>
    <row r="6" ht="14.25" customHeight="1" s="51">
      <c r="A6" s="24" t="inlineStr">
        <is>
          <t>Metrics Dictionary</t>
        </is>
      </c>
      <c r="B6" s="24" t="inlineStr">
        <is>
          <t>Metrics_Definitions.xlsx</t>
        </is>
      </c>
    </row>
    <row r="7" ht="14.25" customHeight="1" s="51">
      <c r="A7" s="25" t="inlineStr">
        <is>
          <t>Metrics Guide</t>
        </is>
      </c>
      <c r="B7" s="25" t="inlineStr">
        <is>
          <t>Quality_Metrics_Guide.docx</t>
        </is>
      </c>
    </row>
    <row r="8" ht="14.25" customHeight="1" s="51">
      <c r="A8" s="24" t="inlineStr">
        <is>
          <t>Version</t>
        </is>
      </c>
      <c r="B8" s="24" t="inlineStr">
        <is>
          <t>1.0</t>
        </is>
      </c>
    </row>
    <row r="9" ht="14.25" customHeight="1" s="51">
      <c r="A9" s="25" t="inlineStr">
        <is>
          <t>Last Updated</t>
        </is>
      </c>
      <c r="B9" s="25" t="inlineStr">
        <is>
          <t>July 2026</t>
        </is>
      </c>
    </row>
    <row r="11" ht="21.75" customHeight="1" s="51">
      <c r="A11" s="70" t="inlineStr">
        <is>
          <t>DASHBOARD ARCHITECTURE (THREE LAYERS)</t>
        </is>
      </c>
    </row>
    <row r="12" ht="66" customHeight="1" s="51">
      <c r="A12" s="26" t="inlineStr">
        <is>
          <t>Layer 1 — Original Data Source</t>
        </is>
      </c>
      <c r="B12" s="27" t="inlineStr">
        <is>
          <t>AI_Response_Evaluation_Dataset.xlsx is the master data source (Evaluation_Dataset, 100 evaluated responses). Reviewer_Calibration_Scenarios.xlsx holds the master calibration records (Calibration_Dataset, 25 cases). No KPI is calculated in these workbooks.</t>
        </is>
      </c>
    </row>
    <row r="13" ht="66" customHeight="1" s="51">
      <c r="A13" s="26" t="inlineStr">
        <is>
          <t>Layer 2 — Metrics Calculation</t>
        </is>
      </c>
      <c r="B13" s="27" t="inlineStr">
        <is>
          <t>AI_Quality_Metrics_Framework.xlsx is the single source of KPI calculations. Its EvalData_Source and CalibData_Source worksheets are regenerated from the master datasets, and KPI_Summary applies the live Excel formulas that produce every KPI value.</t>
        </is>
      </c>
    </row>
    <row r="14" ht="49.5" customHeight="1" s="51">
      <c r="A14" s="26" t="inlineStr">
        <is>
          <t>Layer 3 — Executive Reporting</t>
        </is>
      </c>
      <c r="B14" s="27" t="inlineStr">
        <is>
          <t>AI_Quality_Dashboard.xlsx (this workbook) is an executive reporting snapshot that presents verified KPI values. It performs no KPI calculations and contains no source data.</t>
        </is>
      </c>
    </row>
    <row r="15" ht="66" customHeight="1" s="51">
      <c r="A15" s="26" t="inlineStr">
        <is>
          <t>Architecture Statement</t>
        </is>
      </c>
      <c r="B15" s="27" t="inlineStr">
        <is>
          <t>This workbook is an executive reporting snapshot. All KPI calculations are performed in AI_Quality_Metrics_Framework.xlsx using the source Evaluation Dataset and Reviewer Calibration Dataset. The KPI values published in this dashboard have been independently verified against the source datasets. Refer to the KPI_Calculations worksheet for calculation methodology, traceability, and source references.</t>
        </is>
      </c>
    </row>
    <row r="16" ht="49.5" customHeight="1" s="51">
      <c r="A16" s="26" t="inlineStr">
        <is>
          <t>Data Flow</t>
        </is>
      </c>
      <c r="B16" s="27" t="inlineStr">
        <is>
          <t>Evaluation / Calibration Dataset  →  Metrics Framework (EvalData_Source / CalibData_Source)  →  KPI_Summary (live formulas)  →  Final_KPI_Values  →  Dashboard KPI Card</t>
        </is>
      </c>
    </row>
    <row r="17" ht="19.5" customHeight="1" s="51">
      <c r="A17" s="26" t="inlineStr">
        <is>
          <t>External Links</t>
        </is>
      </c>
      <c r="B17" s="27" t="inlineStr">
        <is>
          <t>None. This workbook contains no external workbook references and no duplicated source data.</t>
        </is>
      </c>
    </row>
    <row r="18" ht="19.5" customHeight="1" s="51">
      <c r="A18" s="26" t="inlineStr">
        <is>
          <t>Verification</t>
        </is>
      </c>
      <c r="B18" s="27" t="inlineStr">
        <is>
          <t>All seven published KPI values independently recomputed from the master datasets and confirmed to match.</t>
        </is>
      </c>
    </row>
  </sheetData>
  <mergeCells count="1">
    <mergeCell ref="A11:B11"/>
  </mergeCell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showRowColHeaders="0" zoomScaleNormal="100" workbookViewId="0">
      <pane ySplit="1" topLeftCell="A2" activePane="bottomLeft" state="frozen"/>
      <selection pane="bottomLeft" activeCell="A1" sqref="A1"/>
    </sheetView>
  </sheetViews>
  <sheetFormatPr baseColWidth="8" defaultColWidth="8.6328125" defaultRowHeight="14.5"/>
  <cols>
    <col width="31" customWidth="1" style="51" min="1" max="1"/>
    <col width="7" customWidth="1" style="51" min="2" max="2"/>
    <col width="17" customWidth="1" style="51" min="3" max="3"/>
  </cols>
  <sheetData>
    <row r="1" ht="14.25" customHeight="1" s="51">
      <c r="A1" s="23" t="inlineStr">
        <is>
          <t>Metric</t>
        </is>
      </c>
      <c r="B1" s="23" t="inlineStr">
        <is>
          <t>Value</t>
        </is>
      </c>
      <c r="C1" s="23" t="inlineStr">
        <is>
          <t>Status</t>
        </is>
      </c>
    </row>
    <row r="2" ht="14.25" customHeight="1" s="51">
      <c r="A2" s="24" t="inlineStr">
        <is>
          <t>Overall Dataset Quality Score</t>
        </is>
      </c>
      <c r="B2" s="24" t="inlineStr">
        <is>
          <t>4.49</t>
        </is>
      </c>
      <c r="C2" s="24" t="inlineStr">
        <is>
          <t>Target Achieved</t>
        </is>
      </c>
    </row>
    <row r="3" ht="14.25" customHeight="1" s="51">
      <c r="A3" s="25" t="inlineStr">
        <is>
          <t>Hallucination Rate</t>
        </is>
      </c>
      <c r="B3" s="25" t="inlineStr">
        <is>
          <t>4%</t>
        </is>
      </c>
      <c r="C3" s="25" t="inlineStr">
        <is>
          <t>Below Threshold</t>
        </is>
      </c>
    </row>
    <row r="4" ht="14.25" customHeight="1" s="51">
      <c r="A4" s="24" t="inlineStr">
        <is>
          <t>Safety Compliance</t>
        </is>
      </c>
      <c r="B4" s="24" t="inlineStr">
        <is>
          <t>93%</t>
        </is>
      </c>
      <c r="C4" s="24" t="inlineStr">
        <is>
          <t>Near Target</t>
        </is>
      </c>
    </row>
    <row r="5" ht="14.25" customHeight="1" s="51">
      <c r="A5" s="25" t="inlineStr">
        <is>
          <t>Calibration Agreement</t>
        </is>
      </c>
      <c r="B5" s="25" t="inlineStr">
        <is>
          <t>88%</t>
        </is>
      </c>
      <c r="C5" s="25" t="inlineStr">
        <is>
          <t>Target Achieved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showRowColHeaders="0" zoomScaleNormal="100" workbookViewId="0">
      <pane ySplit="1" topLeftCell="A2" activePane="bottomLeft" state="frozen"/>
      <selection pane="bottomLeft" activeCell="A1" sqref="A1"/>
    </sheetView>
  </sheetViews>
  <sheetFormatPr baseColWidth="8" defaultColWidth="8.6328125" defaultRowHeight="14.5"/>
  <cols>
    <col width="31" customWidth="1" style="51" min="1" max="1"/>
    <col width="18" customWidth="1" style="51" min="2" max="3"/>
    <col width="17" customWidth="1" style="51" min="4" max="4"/>
    <col width="12" customWidth="1" style="51" min="5" max="5"/>
  </cols>
  <sheetData>
    <row r="1" ht="14.25" customHeight="1" s="51">
      <c r="A1" s="23" t="inlineStr">
        <is>
          <t>Metric</t>
        </is>
      </c>
      <c r="B1" s="23" t="inlineStr">
        <is>
          <t>Calculated Value</t>
        </is>
      </c>
      <c r="C1" s="23" t="inlineStr">
        <is>
          <t>Target Threshold</t>
        </is>
      </c>
      <c r="D1" s="23" t="inlineStr">
        <is>
          <t>Status</t>
        </is>
      </c>
      <c r="E1" s="23" t="inlineStr">
        <is>
          <t>Trend Icon</t>
        </is>
      </c>
    </row>
    <row r="2" ht="14.25" customHeight="1" s="51">
      <c r="A2" s="24" t="inlineStr">
        <is>
          <t>Overall Dataset Quality Score</t>
        </is>
      </c>
      <c r="B2" s="24" t="n">
        <v>4.49</v>
      </c>
      <c r="C2" s="24" t="inlineStr">
        <is>
          <t>&gt;= 4.0</t>
        </is>
      </c>
      <c r="D2" s="24" t="inlineStr">
        <is>
          <t>Target Achieved</t>
        </is>
      </c>
      <c r="E2" s="24" t="inlineStr">
        <is>
          <t>📈</t>
        </is>
      </c>
    </row>
    <row r="3" ht="14.25" customHeight="1" s="51">
      <c r="A3" s="25" t="inlineStr">
        <is>
          <t>Accuracy Rate</t>
        </is>
      </c>
      <c r="B3" s="28" t="n">
        <v>0.66</v>
      </c>
      <c r="C3" s="25" t="inlineStr">
        <is>
          <t>&gt;= 85.0%</t>
        </is>
      </c>
      <c r="D3" s="25" t="inlineStr">
        <is>
          <t>Below Threshold</t>
        </is>
      </c>
      <c r="E3" s="25" t="inlineStr">
        <is>
          <t>📉</t>
        </is>
      </c>
    </row>
    <row r="4" ht="14.25" customHeight="1" s="51">
      <c r="A4" s="24" t="inlineStr">
        <is>
          <t>Hallucination Rate</t>
        </is>
      </c>
      <c r="B4" s="29" t="n">
        <v>0.04</v>
      </c>
      <c r="C4" s="24" t="inlineStr">
        <is>
          <t>&lt; 10.0%</t>
        </is>
      </c>
      <c r="D4" s="24" t="inlineStr">
        <is>
          <t>Target Achieved</t>
        </is>
      </c>
      <c r="E4" s="24" t="inlineStr">
        <is>
          <t>📉</t>
        </is>
      </c>
    </row>
    <row r="5" ht="14.25" customHeight="1" s="51">
      <c r="A5" s="25" t="inlineStr">
        <is>
          <t>Safety Compliance Rate</t>
        </is>
      </c>
      <c r="B5" s="28" t="n">
        <v>0.93</v>
      </c>
      <c r="C5" s="25" t="inlineStr">
        <is>
          <t>&gt;= 95.0%</t>
        </is>
      </c>
      <c r="D5" s="25" t="inlineStr">
        <is>
          <t>Near Target</t>
        </is>
      </c>
      <c r="E5" s="25" t="inlineStr">
        <is>
          <t>➖</t>
        </is>
      </c>
    </row>
    <row r="6" ht="14.25" customHeight="1" s="51">
      <c r="A6" s="24" t="inlineStr">
        <is>
          <t>Calibration Agreement Rate</t>
        </is>
      </c>
      <c r="B6" s="29" t="n">
        <v>0.88</v>
      </c>
      <c r="C6" s="24" t="inlineStr">
        <is>
          <t>&gt;= 85.0%</t>
        </is>
      </c>
      <c r="D6" s="24" t="inlineStr">
        <is>
          <t>Target Achieved</t>
        </is>
      </c>
      <c r="E6" s="24" t="inlineStr">
        <is>
          <t>📈</t>
        </is>
      </c>
    </row>
    <row r="7" ht="14.25" customHeight="1" s="51">
      <c r="A7" s="25" t="inlineStr">
        <is>
          <t>Error Rate</t>
        </is>
      </c>
      <c r="B7" s="28" t="n">
        <v>0.34</v>
      </c>
      <c r="C7" s="25" t="inlineStr">
        <is>
          <t>&lt; 50.0%</t>
        </is>
      </c>
      <c r="D7" s="25" t="inlineStr">
        <is>
          <t>Target Achieved</t>
        </is>
      </c>
      <c r="E7" s="25" t="inlineStr">
        <is>
          <t>📉</t>
        </is>
      </c>
    </row>
    <row r="8" ht="14.25" customHeight="1" s="51">
      <c r="A8" s="24" t="inlineStr">
        <is>
          <t>Escalation Rate</t>
        </is>
      </c>
      <c r="B8" s="29" t="n">
        <v>0.04</v>
      </c>
      <c r="C8" s="24" t="inlineStr">
        <is>
          <t>&lt; 15.0%</t>
        </is>
      </c>
      <c r="D8" s="24" t="inlineStr">
        <is>
          <t>Target Achieved</t>
        </is>
      </c>
      <c r="E8" s="24" t="inlineStr">
        <is>
          <t>📉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showRowColHeaders="0" zoomScaleNormal="100" workbookViewId="0">
      <pane ySplit="1" topLeftCell="A2" activePane="bottomLeft" state="frozen"/>
      <selection pane="bottomLeft" activeCell="A1" sqref="A1"/>
    </sheetView>
  </sheetViews>
  <sheetFormatPr baseColWidth="8" defaultColWidth="8.6328125" defaultRowHeight="14.5"/>
  <cols>
    <col width="28" customWidth="1" style="51" min="1" max="1"/>
    <col width="15" customWidth="1" style="51" min="2" max="2"/>
    <col width="20" customWidth="1" style="51" min="3" max="3"/>
    <col width="14" customWidth="1" style="51" min="4" max="4"/>
  </cols>
  <sheetData>
    <row r="1" ht="14.25" customHeight="1" s="51">
      <c r="A1" s="23" t="inlineStr">
        <is>
          <t>Error Category</t>
        </is>
      </c>
      <c r="B1" s="23" t="inlineStr">
        <is>
          <t>Defect Volume</t>
        </is>
      </c>
      <c r="C1" s="23" t="inlineStr">
        <is>
          <t>% of Total Defects</t>
        </is>
      </c>
      <c r="D1" s="23" t="inlineStr">
        <is>
          <t>Cumulative %</t>
        </is>
      </c>
    </row>
    <row r="2" ht="14.25" customHeight="1" s="51">
      <c r="A2" s="24" t="inlineStr">
        <is>
          <t>Incorrect Facts</t>
        </is>
      </c>
      <c r="B2" s="24" t="n">
        <v>14</v>
      </c>
      <c r="C2" s="29" t="n">
        <v>0.4117</v>
      </c>
      <c r="D2" s="29" t="n">
        <v>0.4117</v>
      </c>
    </row>
    <row r="3" ht="14.25" customHeight="1" s="51">
      <c r="A3" s="25" t="inlineStr">
        <is>
          <t>Safety Violation</t>
        </is>
      </c>
      <c r="B3" s="25" t="n">
        <v>7</v>
      </c>
      <c r="C3" s="28" t="n">
        <v>0.2058</v>
      </c>
      <c r="D3" s="28" t="n">
        <v>0.6176</v>
      </c>
    </row>
    <row r="4" ht="14.25" customHeight="1" s="51">
      <c r="A4" s="24" t="inlineStr">
        <is>
          <t>Hallucination</t>
        </is>
      </c>
      <c r="B4" s="24" t="n">
        <v>4</v>
      </c>
      <c r="C4" s="29" t="n">
        <v>0.1176</v>
      </c>
      <c r="D4" s="29" t="n">
        <v>0.7352</v>
      </c>
    </row>
    <row r="5" ht="14.25" customHeight="1" s="51">
      <c r="A5" s="25" t="inlineStr">
        <is>
          <t>Bias</t>
        </is>
      </c>
      <c r="B5" s="25" t="n">
        <v>4</v>
      </c>
      <c r="C5" s="28" t="n">
        <v>0.1176</v>
      </c>
      <c r="D5" s="28" t="n">
        <v>0.8529</v>
      </c>
    </row>
    <row r="6" ht="14.25" customHeight="1" s="51">
      <c r="A6" s="24" t="inlineStr">
        <is>
          <t>Policy Violation</t>
        </is>
      </c>
      <c r="B6" s="24" t="n">
        <v>2</v>
      </c>
      <c r="C6" s="29" t="n">
        <v>0.0588</v>
      </c>
      <c r="D6" s="29" t="n">
        <v>0.9117</v>
      </c>
    </row>
    <row r="7" ht="14.25" customHeight="1" s="51">
      <c r="A7" s="25" t="inlineStr">
        <is>
          <t>Tone Issue</t>
        </is>
      </c>
      <c r="B7" s="25" t="n">
        <v>1</v>
      </c>
      <c r="C7" s="28" t="n">
        <v>0.0294</v>
      </c>
      <c r="D7" s="28" t="n">
        <v>0.9411</v>
      </c>
    </row>
    <row r="8" ht="14.25" customHeight="1" s="51">
      <c r="A8" s="24" t="inlineStr">
        <is>
          <t>Incomplete Answer</t>
        </is>
      </c>
      <c r="B8" s="24" t="n">
        <v>1</v>
      </c>
      <c r="C8" s="29" t="n">
        <v>0.0294</v>
      </c>
      <c r="D8" s="29" t="n">
        <v>0.9705</v>
      </c>
    </row>
    <row r="9" ht="14.25" customHeight="1" s="51">
      <c r="A9" s="25" t="inlineStr">
        <is>
          <t>Instruction Following Failure</t>
        </is>
      </c>
      <c r="B9" s="25" t="n">
        <v>1</v>
      </c>
      <c r="C9" s="28" t="n">
        <v>0.0294</v>
      </c>
      <c r="D9" s="28" t="n">
        <v>1</v>
      </c>
    </row>
  </sheetData>
  <pageMargins left="0.75" right="0.75" top="1" bottom="1" header="0.511811023622047" footer="0.511811023622047"/>
  <pageSetup orientation="portrait" paperSize="9" horizontalDpi="300" verticalDpi="300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showRowColHeaders="0" zoomScaleNormal="100" workbookViewId="0">
      <pane ySplit="1" topLeftCell="A2" activePane="bottomLeft" state="frozen"/>
      <selection pane="bottomLeft" activeCell="A1" sqref="A1"/>
    </sheetView>
  </sheetViews>
  <sheetFormatPr baseColWidth="8" defaultColWidth="8.6328125" defaultRowHeight="14.5"/>
  <cols>
    <col width="9" customWidth="1" style="51" min="1" max="1"/>
    <col width="29" customWidth="1" style="51" min="2" max="2"/>
    <col width="60" customWidth="1" style="51" min="3" max="3"/>
    <col width="42" customWidth="1" style="51" min="4" max="4"/>
  </cols>
  <sheetData>
    <row r="1" ht="14.25" customHeight="1" s="51">
      <c r="A1" s="23" t="inlineStr">
        <is>
          <t>Phase</t>
        </is>
      </c>
      <c r="B1" s="23" t="inlineStr">
        <is>
          <t>Focus Area</t>
        </is>
      </c>
      <c r="C1" s="23" t="inlineStr">
        <is>
          <t>Operational Action Plan</t>
        </is>
      </c>
      <c r="D1" s="23" t="inlineStr">
        <is>
          <t>Recommended Methodology / Tool</t>
        </is>
      </c>
    </row>
    <row r="2" ht="43.5" customHeight="1" s="51">
      <c r="A2" s="24" t="inlineStr">
        <is>
          <t>Define</t>
        </is>
      </c>
      <c r="B2" s="24" t="inlineStr">
        <is>
          <t>KPI Thresholds</t>
        </is>
      </c>
      <c r="C2" s="24" t="inlineStr">
        <is>
          <t>Establish clear critical-to-quality (CTQ) benchmarks for AI outputs, specifically targeting the 85% accuracy threshold which is currently underperforming at 66%.</t>
        </is>
      </c>
      <c r="D2" s="24" t="inlineStr">
        <is>
          <t>Process Capability Analysis</t>
        </is>
      </c>
    </row>
    <row r="3" ht="43.5" customHeight="1" s="51">
      <c r="A3" s="25" t="inlineStr">
        <is>
          <t>Measure</t>
        </is>
      </c>
      <c r="B3" s="25" t="inlineStr">
        <is>
          <t>Calibration Agreement Trend</t>
        </is>
      </c>
      <c r="C3" s="25" t="inlineStr">
        <is>
          <t>The 88% calibration agreement rate meets the target, but should be rigorously monitored. Implement continuous reliability tests on the RLHF evaluation scenarios to ensure measurement system integrity.</t>
        </is>
      </c>
      <c r="D3" s="25" t="inlineStr">
        <is>
          <t>Gage R&amp;R Study</t>
        </is>
      </c>
    </row>
    <row r="4" ht="43.5" customHeight="1" s="51">
      <c r="A4" s="24" t="inlineStr">
        <is>
          <t>Analyze</t>
        </is>
      </c>
      <c r="B4" s="24" t="inlineStr">
        <is>
          <t>Defect Root Causes</t>
        </is>
      </c>
      <c r="C4" s="24" t="inlineStr">
        <is>
          <t>Investigate the driving factors behind the 14 "Incorrect Fact" defects and 7 "Safety Violation" violations, which account for over 60% of all system errors.</t>
        </is>
      </c>
      <c r="D4" s="24" t="inlineStr">
        <is>
          <t>Failure Mode and Effects Analysis (FMEA)</t>
        </is>
      </c>
    </row>
    <row r="5" ht="43.5" customHeight="1" s="51">
      <c r="A5" s="25" t="inlineStr">
        <is>
          <t>Improve</t>
        </is>
      </c>
      <c r="B5" s="25" t="inlineStr">
        <is>
          <t>Workflow Automation</t>
        </is>
      </c>
      <c r="C5" s="25" t="inlineStr">
        <is>
          <t>Build an automated webhook pipeline to instantly flag evaluation batches where accuracy drops below the target, routing those specific responses to a secondary human-in-the-loop review queue.</t>
        </is>
      </c>
      <c r="D5" s="25" t="inlineStr">
        <is>
          <t>Low-code platforms</t>
        </is>
      </c>
    </row>
    <row r="6" ht="43.5" customHeight="1" s="51">
      <c r="A6" s="24" t="inlineStr">
        <is>
          <t>Control</t>
        </is>
      </c>
      <c r="B6" s="24" t="inlineStr">
        <is>
          <t>Executive Monitoring</t>
        </is>
      </c>
      <c r="C6" s="24" t="inlineStr">
        <is>
          <t>Finalize the AI Quality Evaluation Dashboard using the standardized metrics from this dataset to maintain ongoing visibility over prompt engineering refinements.</t>
        </is>
      </c>
      <c r="D6" s="24" t="inlineStr">
        <is>
          <t>Statistical Process Control (SPC) Charts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8"/>
  <sheetViews>
    <sheetView showGridLines="0" showRowColHeaders="0" zoomScaleNormal="100" workbookViewId="0">
      <pane ySplit="4" topLeftCell="A5" activePane="bottomLeft" state="frozen"/>
      <selection pane="bottomLeft" activeCell="A1" sqref="A1"/>
    </sheetView>
  </sheetViews>
  <sheetFormatPr baseColWidth="8" defaultColWidth="8.6328125" defaultRowHeight="14.5"/>
  <cols>
    <col width="28" customWidth="1" style="51" min="1" max="1"/>
    <col width="32" customWidth="1" style="51" min="2" max="2"/>
    <col width="40" customWidth="1" style="51" min="3" max="3"/>
    <col width="32" customWidth="1" style="51" min="4" max="4"/>
    <col width="30" customWidth="1" style="51" min="5" max="6"/>
    <col width="46" customWidth="1" style="51" min="7" max="7"/>
    <col width="44" customWidth="1" style="51" min="8" max="8"/>
    <col width="40" customWidth="1" style="51" min="9" max="9"/>
    <col width="10" customWidth="1" style="51" min="10" max="10"/>
    <col width="13" customWidth="1" style="51" min="11" max="11"/>
    <col width="38" customWidth="1" style="51" min="12" max="12"/>
  </cols>
  <sheetData>
    <row r="1" ht="25.5" customHeight="1" s="51">
      <c r="A1" s="75" t="inlineStr">
        <is>
          <t>KPI CALCULATION REFERENCE &amp; TRACEABILITY</t>
        </is>
      </c>
    </row>
    <row r="2" ht="39.75" customHeight="1" s="51">
      <c r="A2" s="71" t="inlineStr">
        <is>
          <t>Three-layer architecture: the ORIGINAL DATA SOURCE holds the master evaluation and calibration records; the CALCULATION WORKBOOK (AI_Quality_Metrics_Framework.xlsx) performs all live KPI calculations on worksheets regenerated from those masters; this dashboard is the EXECUTIVE REPORTING SNAPSHOT presenting verified values. Formulas below are reproduced verbatim from the calculation workbook and reference its worksheets.</t>
        </is>
      </c>
    </row>
    <row r="4" ht="42" customHeight="1" s="51">
      <c r="A4" s="30" t="inlineStr">
        <is>
          <t>KPI Name</t>
        </is>
      </c>
      <c r="B4" s="30" t="inlineStr">
        <is>
          <t>Business Definition</t>
        </is>
      </c>
      <c r="C4" s="30" t="inlineStr">
        <is>
          <t>Original Data Source</t>
        </is>
      </c>
      <c r="D4" s="30" t="inlineStr">
        <is>
          <t>Calculation Workbook</t>
        </is>
      </c>
      <c r="E4" s="30" t="inlineStr">
        <is>
          <t>Calculation Worksheet</t>
        </is>
      </c>
      <c r="F4" s="30" t="inlineStr">
        <is>
          <t>Source Columns (Calculation Worksheet)</t>
        </is>
      </c>
      <c r="G4" s="30" t="inlineStr">
        <is>
          <t>Calculation Formula (verbatim)</t>
        </is>
      </c>
      <c r="H4" s="30" t="inlineStr">
        <is>
          <t>Formula Explanation</t>
        </is>
      </c>
      <c r="I4" s="30" t="inlineStr">
        <is>
          <t>Business Calculation</t>
        </is>
      </c>
      <c r="J4" s="30" t="inlineStr">
        <is>
          <t>Target</t>
        </is>
      </c>
      <c r="K4" s="30" t="inlineStr">
        <is>
          <t>Published Value</t>
        </is>
      </c>
      <c r="L4" s="30" t="inlineStr">
        <is>
          <t>Notes</t>
        </is>
      </c>
    </row>
    <row r="5" ht="85.5" customHeight="1" s="51">
      <c r="A5" s="31" t="inlineStr">
        <is>
          <t>Overall Dataset Quality Score</t>
        </is>
      </c>
      <c r="B5" s="32" t="inlineStr">
        <is>
          <t>Average response quality across all evaluated AI responses</t>
        </is>
      </c>
      <c r="C5" s="32" t="inlineStr">
        <is>
          <t>AI_Response_Evaluation_Dataset.xlsx (Evaluation_Dataset, 100 responses)</t>
        </is>
      </c>
      <c r="D5" s="32" t="inlineStr">
        <is>
          <t>AI_Quality_Metrics_Framework.xlsx</t>
        </is>
      </c>
      <c r="E5" s="32" t="inlineStr">
        <is>
          <t>EvalData_Source → KPI_Summary</t>
        </is>
      </c>
      <c r="F5" s="32" t="inlineStr">
        <is>
          <t>G (Overall Score)</t>
        </is>
      </c>
      <c r="G5" s="33" t="inlineStr">
        <is>
          <t>=ROUND(AVERAGE(EvalData_Source!G2:G101),2)</t>
        </is>
      </c>
      <c r="H5" s="32" t="inlineStr">
        <is>
          <t>Averages the Overall Score across all 100 evaluated responses, rounded to 2 decimal places.</t>
        </is>
      </c>
      <c r="I5" s="32" t="inlineStr">
        <is>
          <t>Average of Overall Scores</t>
        </is>
      </c>
      <c r="J5" s="34" t="inlineStr">
        <is>
          <t>&gt;= 4.0</t>
        </is>
      </c>
      <c r="K5" s="35" t="n">
        <v>4.49</v>
      </c>
      <c r="L5" s="32" t="inlineStr">
        <is>
          <t>Overall Score is itself the mean of the five scored dimensions (Accuracy, Completeness, Relevance, Clarity, Safety).</t>
        </is>
      </c>
    </row>
    <row r="6" ht="85.5" customHeight="1" s="51">
      <c r="A6" s="36" t="inlineStr">
        <is>
          <t>Accuracy Rate</t>
        </is>
      </c>
      <c r="B6" s="37" t="inlineStr">
        <is>
          <t>Percentage of responses demonstrating factual correctness</t>
        </is>
      </c>
      <c r="C6" s="37" t="inlineStr">
        <is>
          <t>AI_Response_Evaluation_Dataset.xlsx (Evaluation_Dataset, 100 responses)</t>
        </is>
      </c>
      <c r="D6" s="37" t="inlineStr">
        <is>
          <t>AI_Quality_Metrics_Framework.xlsx</t>
        </is>
      </c>
      <c r="E6" s="37" t="inlineStr">
        <is>
          <t>EvalData_Source → KPI_Summary</t>
        </is>
      </c>
      <c r="F6" s="37" t="inlineStr">
        <is>
          <t>B (Accuracy)</t>
        </is>
      </c>
      <c r="G6" s="38" t="inlineStr">
        <is>
          <t>=COUNTIF(EvalData_Source!B2:B101,"&gt;=4")/COUNTA(EvalData_Source!B2:B101)</t>
        </is>
      </c>
      <c r="H6" s="37" t="inlineStr">
        <is>
          <t>Counts responses scoring 4 or higher on the Accuracy dimension, divided by total responses.</t>
        </is>
      </c>
      <c r="I6" s="37" t="inlineStr">
        <is>
          <t>Responses with Accuracy Score ≥ 4 ÷ Total Responses</t>
        </is>
      </c>
      <c r="J6" s="39" t="inlineStr">
        <is>
          <t>&gt;= 85.0%</t>
        </is>
      </c>
      <c r="K6" s="40" t="n">
        <v>0.66</v>
      </c>
      <c r="L6" s="37" t="inlineStr">
        <is>
          <t>Currently below target; identified as the primary improvement area in Continuous_Improvement.</t>
        </is>
      </c>
    </row>
    <row r="7" ht="85.5" customHeight="1" s="51">
      <c r="A7" s="31" t="inlineStr">
        <is>
          <t>Hallucination Rate</t>
        </is>
      </c>
      <c r="B7" s="32" t="inlineStr">
        <is>
          <t>Percentage of responses containing fabricated or unsupported information</t>
        </is>
      </c>
      <c r="C7" s="32" t="inlineStr">
        <is>
          <t>AI_Response_Evaluation_Dataset.xlsx (Evaluation_Dataset, 100 responses)</t>
        </is>
      </c>
      <c r="D7" s="32" t="inlineStr">
        <is>
          <t>AI_Quality_Metrics_Framework.xlsx</t>
        </is>
      </c>
      <c r="E7" s="32" t="inlineStr">
        <is>
          <t>EvalData_Source → KPI_Summary</t>
        </is>
      </c>
      <c r="F7" s="32" t="inlineStr">
        <is>
          <t>H (Error Category)</t>
        </is>
      </c>
      <c r="G7" s="33" t="inlineStr">
        <is>
          <t>=COUNTIF(EvalData_Source!H2:H101,"Hallucination")/COUNTA(EvalData_Source!A2:A101)</t>
        </is>
      </c>
      <c r="H7" s="32" t="inlineStr">
        <is>
          <t>Counts responses classified with the canonical error category 'Hallucination', divided by total responses.</t>
        </is>
      </c>
      <c r="I7" s="32" t="inlineStr">
        <is>
          <t>Hallucinated Responses ÷ Total Responses</t>
        </is>
      </c>
      <c r="J7" s="34" t="inlineStr">
        <is>
          <t>&lt; 10.0%</t>
        </is>
      </c>
      <c r="K7" s="41" t="n">
        <v>0.04</v>
      </c>
      <c r="L7" s="32" t="inlineStr">
        <is>
          <t>Uses the canonical 13-category error taxonomy.</t>
        </is>
      </c>
    </row>
    <row r="8" ht="85.5" customHeight="1" s="51">
      <c r="A8" s="36" t="inlineStr">
        <is>
          <t>Safety Compliance Rate</t>
        </is>
      </c>
      <c r="B8" s="37" t="inlineStr">
        <is>
          <t>Percentage of responses meeting AI safety requirements</t>
        </is>
      </c>
      <c r="C8" s="37" t="inlineStr">
        <is>
          <t>AI_Response_Evaluation_Dataset.xlsx (Evaluation_Dataset, 100 responses)</t>
        </is>
      </c>
      <c r="D8" s="37" t="inlineStr">
        <is>
          <t>AI_Quality_Metrics_Framework.xlsx</t>
        </is>
      </c>
      <c r="E8" s="37" t="inlineStr">
        <is>
          <t>EvalData_Source → KPI_Summary</t>
        </is>
      </c>
      <c r="F8" s="37" t="inlineStr">
        <is>
          <t>A (Prompt ID), H (Error Category)</t>
        </is>
      </c>
      <c r="G8" s="38" t="inlineStr">
        <is>
          <t>=(COUNTA(EvalData_Source!A2:A101)-COUNTIF(EvalData_Source!H2:H101,"Safety Violation"))/COUNTA(EvalData_Source!A2:A101)</t>
        </is>
      </c>
      <c r="H8" s="37" t="inlineStr">
        <is>
          <t>Total responses minus those classified as 'Safety Violation', divided by total responses.</t>
        </is>
      </c>
      <c r="I8" s="37" t="inlineStr">
        <is>
          <t>Safe Responses ÷ Total Responses</t>
        </is>
      </c>
      <c r="J8" s="39" t="inlineStr">
        <is>
          <t>&gt;= 95.0%</t>
        </is>
      </c>
      <c r="K8" s="40" t="n">
        <v>0.93</v>
      </c>
      <c r="L8" s="37" t="inlineStr">
        <is>
          <t>Safety Violation is a Critical-severity category requiring immediate escalation.</t>
        </is>
      </c>
    </row>
    <row r="9" ht="85.5" customHeight="1" s="51">
      <c r="A9" s="31" t="inlineStr">
        <is>
          <t>Calibration Agreement Rate</t>
        </is>
      </c>
      <c r="B9" s="32" t="inlineStr">
        <is>
          <t>Reviewer consistency during calibration exercises</t>
        </is>
      </c>
      <c r="C9" s="32" t="inlineStr">
        <is>
          <t>Reviewer_Calibration_Scenarios.xlsx (Calibration_Dataset, 25 cases)</t>
        </is>
      </c>
      <c r="D9" s="32" t="inlineStr">
        <is>
          <t>AI_Quality_Metrics_Framework.xlsx</t>
        </is>
      </c>
      <c r="E9" s="32" t="inlineStr">
        <is>
          <t>CalibData_Source → KPI_Summary</t>
        </is>
      </c>
      <c r="F9" s="32" t="inlineStr">
        <is>
          <t>A (Scenario ID), B (Initial Agreement)</t>
        </is>
      </c>
      <c r="G9" s="33" t="inlineStr">
        <is>
          <t>=COUNTIF(CalibData_Source!B2:B26,"Yes")/COUNTA(CalibData_Source!A2:A26)</t>
        </is>
      </c>
      <c r="H9" s="32" t="inlineStr">
        <is>
          <t>Counts calibration cases where all three reviewers agreed on first pass, divided by total calibration cases.</t>
        </is>
      </c>
      <c r="I9" s="32" t="inlineStr">
        <is>
          <t>Reviewer Agreements ÷ Total Calibration Cases</t>
        </is>
      </c>
      <c r="J9" s="34" t="inlineStr">
        <is>
          <t>&gt;= 85.0%</t>
        </is>
      </c>
      <c r="K9" s="41" t="n">
        <v>0.88</v>
      </c>
      <c r="L9" s="32" t="inlineStr">
        <is>
          <t>22 of 25 cases reached initial agreement across Reviewers A, B, and C.</t>
        </is>
      </c>
    </row>
    <row r="10" ht="85.5" customHeight="1" s="51">
      <c r="A10" s="36" t="inlineStr">
        <is>
          <t>Error Rate</t>
        </is>
      </c>
      <c r="B10" s="37" t="inlineStr">
        <is>
          <t>Percentage of responses containing quality issues</t>
        </is>
      </c>
      <c r="C10" s="37" t="inlineStr">
        <is>
          <t>AI_Response_Evaluation_Dataset.xlsx (Evaluation_Dataset, 100 responses)</t>
        </is>
      </c>
      <c r="D10" s="37" t="inlineStr">
        <is>
          <t>AI_Quality_Metrics_Framework.xlsx</t>
        </is>
      </c>
      <c r="E10" s="37" t="inlineStr">
        <is>
          <t>EvalData_Source → KPI_Summary</t>
        </is>
      </c>
      <c r="F10" s="37" t="inlineStr">
        <is>
          <t>H (Error Category)</t>
        </is>
      </c>
      <c r="G10" s="38" t="inlineStr">
        <is>
          <t>=COUNTIF(EvalData_Source!H2:H101,"&lt;&gt;No Error")/COUNTA(EvalData_Source!A2:A101)</t>
        </is>
      </c>
      <c r="H10" s="37" t="inlineStr">
        <is>
          <t>Counts responses assigned any error category other than 'No Error', divided by total responses.</t>
        </is>
      </c>
      <c r="I10" s="37" t="inlineStr">
        <is>
          <t>Responses with One or More Errors ÷ Total Responses</t>
        </is>
      </c>
      <c r="J10" s="39" t="inlineStr">
        <is>
          <t>&lt; 50.0%</t>
        </is>
      </c>
      <c r="K10" s="40" t="n">
        <v>0.34</v>
      </c>
      <c r="L10" s="37" t="inlineStr">
        <is>
          <t>34 of 100 responses carry at least one canonical error category.</t>
        </is>
      </c>
    </row>
    <row r="11" ht="85.5" customHeight="1" s="51">
      <c r="A11" s="31" t="inlineStr">
        <is>
          <t>Escalation Rate</t>
        </is>
      </c>
      <c r="B11" s="32" t="inlineStr">
        <is>
          <t>Frequency of complex review cases requiring escalation</t>
        </is>
      </c>
      <c r="C11" s="32" t="inlineStr">
        <is>
          <t>Reviewer_Calibration_Scenarios.xlsx (Calibration_Dataset, 25 cases)</t>
        </is>
      </c>
      <c r="D11" s="32" t="inlineStr">
        <is>
          <t>AI_Quality_Metrics_Framework.xlsx</t>
        </is>
      </c>
      <c r="E11" s="32" t="inlineStr">
        <is>
          <t>CalibData_Source → KPI_Summary</t>
        </is>
      </c>
      <c r="F11" s="32" t="inlineStr">
        <is>
          <t>A (Scenario ID), F (Escalation Required)</t>
        </is>
      </c>
      <c r="G11" s="33" t="inlineStr">
        <is>
          <t>=COUNTIF(CalibData_Source!F2:F26,"Immediate")/COUNTA(CalibData_Source!A2:A26)</t>
        </is>
      </c>
      <c r="H11" s="32" t="inlineStr">
        <is>
          <t>Counts calibration cases flagged for immediate escalation, divided by total calibration cases.</t>
        </is>
      </c>
      <c r="I11" s="32" t="inlineStr">
        <is>
          <t>Escalated Calibration Cases ÷ Total Calibration Cases</t>
        </is>
      </c>
      <c r="J11" s="34" t="inlineStr">
        <is>
          <t>&lt; 15.0%</t>
        </is>
      </c>
      <c r="K11" s="41" t="n">
        <v>0.04</v>
      </c>
      <c r="L11" s="32" t="inlineStr">
        <is>
          <t>Immediate escalation applies to Critical-severity findings routed to Trust &amp; Safety.</t>
        </is>
      </c>
    </row>
    <row r="13" ht="21.75" customHeight="1" s="51">
      <c r="A13" s="76" t="inlineStr">
        <is>
          <t>TRACEABILITY CHAIN — applies to all seven KPIs above</t>
        </is>
      </c>
    </row>
    <row r="14" ht="39.75" customHeight="1" s="51">
      <c r="A14" s="42" t="inlineStr">
        <is>
          <t>Layer 1 — Original Data Source</t>
        </is>
      </c>
      <c r="B14" s="72" t="inlineStr">
        <is>
          <t>AI_Response_Evaluation_Dataset.xlsx (Evaluation_Dataset, 100 responses) and Reviewer_Calibration_Scenarios.xlsx (Calibration_Dataset, 25 cases). These are the master records; no KPI is calculated here.</t>
        </is>
      </c>
      <c r="C14" s="73" t="n"/>
      <c r="D14" s="73" t="n"/>
      <c r="E14" s="73" t="n"/>
      <c r="F14" s="73" t="n"/>
      <c r="G14" s="73" t="n"/>
      <c r="H14" s="73" t="n"/>
      <c r="I14" s="73" t="n"/>
      <c r="J14" s="73" t="n"/>
      <c r="K14" s="73" t="n"/>
      <c r="L14" s="73" t="n"/>
    </row>
    <row r="15" ht="39.75" customHeight="1" s="51">
      <c r="A15" s="43" t="inlineStr">
        <is>
          <t>Layer 2 — Calculation Workbook</t>
        </is>
      </c>
      <c r="B15" s="74" t="inlineStr">
        <is>
          <t>AI_Quality_Metrics_Framework.xlsx. Worksheets EvalData_Source and CalibData_Source are regenerated from the master datasets; KPI_Summary applies the live Excel formulas shown above. This is the single source of KPI calculations.</t>
        </is>
      </c>
      <c r="C15" s="73" t="n"/>
      <c r="D15" s="73" t="n"/>
      <c r="E15" s="73" t="n"/>
      <c r="F15" s="73" t="n"/>
      <c r="G15" s="73" t="n"/>
      <c r="H15" s="73" t="n"/>
      <c r="I15" s="73" t="n"/>
      <c r="J15" s="73" t="n"/>
      <c r="K15" s="73" t="n"/>
      <c r="L15" s="73" t="n"/>
    </row>
    <row r="16" ht="39.75" customHeight="1" s="51">
      <c r="A16" s="42" t="inlineStr">
        <is>
          <t>Layer 3 — Executive Reporting</t>
        </is>
      </c>
      <c r="B16" s="72" t="inlineStr">
        <is>
          <t>AI_Quality_Dashboard.xlsx. Final_KPI_Values holds the published snapshot, independently verified against the master datasets; Dashboard KPI cards link to it (e.g. =Final_KPI_Values!B2).</t>
        </is>
      </c>
      <c r="C16" s="73" t="n"/>
      <c r="D16" s="73" t="n"/>
      <c r="E16" s="73" t="n"/>
      <c r="F16" s="73" t="n"/>
      <c r="G16" s="73" t="n"/>
      <c r="H16" s="73" t="n"/>
      <c r="I16" s="73" t="n"/>
      <c r="J16" s="73" t="n"/>
      <c r="K16" s="73" t="n"/>
      <c r="L16" s="73" t="n"/>
    </row>
    <row r="17" ht="39.75" customHeight="1" s="51">
      <c r="A17" s="43" t="inlineStr">
        <is>
          <t>Full chain</t>
        </is>
      </c>
      <c r="B17" s="74" t="inlineStr">
        <is>
          <t>Evaluation / Calibration Dataset  →  Metrics Framework (EvalData_Source / CalibData_Source)  →  KPI_Summary (live formulas)  →  Final_KPI_Values (published snapshot)  →  Dashboard KPI Card</t>
        </is>
      </c>
      <c r="C17" s="73" t="n"/>
      <c r="D17" s="73" t="n"/>
      <c r="E17" s="73" t="n"/>
      <c r="F17" s="73" t="n"/>
      <c r="G17" s="73" t="n"/>
      <c r="H17" s="73" t="n"/>
      <c r="I17" s="73" t="n"/>
      <c r="J17" s="73" t="n"/>
      <c r="K17" s="73" t="n"/>
      <c r="L17" s="73" t="n"/>
    </row>
    <row r="18" ht="39.75" customHeight="1" s="51">
      <c r="A18" s="42" t="inlineStr">
        <is>
          <t>Note on column references</t>
        </is>
      </c>
      <c r="B18" s="72" t="inlineStr">
        <is>
          <t>Source Columns above refer to the calculation worksheets (EvalData_Source / CalibData_Source), which the formulas reference. Column positions in the original master datasets differ, as the calculation worksheets carry a reduced column set.</t>
        </is>
      </c>
      <c r="C18" s="73" t="n"/>
      <c r="D18" s="73" t="n"/>
      <c r="E18" s="73" t="n"/>
      <c r="F18" s="73" t="n"/>
      <c r="G18" s="73" t="n"/>
      <c r="H18" s="73" t="n"/>
      <c r="I18" s="73" t="n"/>
      <c r="J18" s="73" t="n"/>
      <c r="K18" s="73" t="n"/>
      <c r="L18" s="73" t="n"/>
    </row>
  </sheetData>
  <mergeCells count="8">
    <mergeCell ref="A2:L2"/>
    <mergeCell ref="B16:L16"/>
    <mergeCell ref="B15:L15"/>
    <mergeCell ref="A1:L1"/>
    <mergeCell ref="A13:L13"/>
    <mergeCell ref="B14:L14"/>
    <mergeCell ref="B17:L17"/>
    <mergeCell ref="B18:L18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2026-07-11T04:17:23Z</dcterms:created>
  <dcterms:modified xmlns:dcterms="http://purl.org/dc/terms/" xmlns:xsi="http://www.w3.org/2001/XMLSchema-instance" xsi:type="dcterms:W3CDTF">2026-07-23T14:17:31Z</dcterms:modified>
  <cp:lastModifiedBy>Poulami Roy Chowdhury</cp:lastModifiedBy>
  <cp:revision>6</cp:revision>
</cp:coreProperties>
</file>