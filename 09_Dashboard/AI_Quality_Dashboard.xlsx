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olyr\Downloads\"/>
    </mc:Choice>
  </mc:AlternateContent>
  <xr:revisionPtr revIDLastSave="0" documentId="8_{9FA68668-88CD-47EF-973E-FA7EFE0802F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Dashboard" sheetId="1" r:id="rId1"/>
    <sheet name="Dashboard_Metadata" sheetId="2" r:id="rId2"/>
    <sheet name="Executive_Summary" sheetId="3" r:id="rId3"/>
    <sheet name="Final_KPI_Values" sheetId="4" r:id="rId4"/>
    <sheet name="Defect_Pareto_Analysis" sheetId="5" r:id="rId5"/>
    <sheet name="Continuous_Improvement" sheetId="6" r:id="rId6"/>
    <sheet name="KPI_Calculations" sheetId="7" r:id="rId7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7" l="1"/>
  <c r="I10" i="7"/>
  <c r="I9" i="7"/>
  <c r="I7" i="7"/>
  <c r="I5" i="7"/>
  <c r="D34" i="1"/>
  <c r="C34" i="1"/>
  <c r="B34" i="1"/>
  <c r="A34" i="1"/>
  <c r="D33" i="1"/>
  <c r="C33" i="1"/>
  <c r="B33" i="1"/>
  <c r="A33" i="1"/>
  <c r="D32" i="1"/>
  <c r="C32" i="1"/>
  <c r="B32" i="1"/>
  <c r="A32" i="1"/>
  <c r="D31" i="1"/>
  <c r="C31" i="1"/>
  <c r="B31" i="1"/>
  <c r="A31" i="1"/>
  <c r="D30" i="1"/>
  <c r="C30" i="1"/>
  <c r="B30" i="1"/>
  <c r="A30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E12" i="1"/>
  <c r="C12" i="1"/>
  <c r="A12" i="1"/>
  <c r="E8" i="1"/>
  <c r="C8" i="1"/>
  <c r="A8" i="1"/>
</calcChain>
</file>

<file path=xl/sharedStrings.xml><?xml version="1.0" encoding="utf-8"?>
<sst xmlns="http://schemas.openxmlformats.org/spreadsheetml/2006/main" count="243" uniqueCount="188">
  <si>
    <t>AI Response Quality Evaluation Dashboard</t>
  </si>
  <si>
    <t>AI Quality Evaluation Framework  |  Version 1.0  |  July 2026</t>
  </si>
  <si>
    <t>KEY PERFORMANCE INDICATORS</t>
  </si>
  <si>
    <t>✓ Overall Quality Score</t>
  </si>
  <si>
    <t>✗ Accuracy Rate</t>
  </si>
  <si>
    <t>◐ Safety Compliance Rate</t>
  </si>
  <si>
    <t>Target: &gt;= 4.0</t>
  </si>
  <si>
    <t>Target: &gt;= 85.0%</t>
  </si>
  <si>
    <t>Target: &gt;= 95.0%</t>
  </si>
  <si>
    <t>✓ Hallucination Rate</t>
  </si>
  <si>
    <t>✓ Calibration Agreement Rate</t>
  </si>
  <si>
    <t>✓ Error Rate</t>
  </si>
  <si>
    <t>Target: &lt; 10.0%</t>
  </si>
  <si>
    <t>Target: &lt; 50.0%</t>
  </si>
  <si>
    <t>TOP AI RESPONSE ERRORS (PARETO ANALYSIS)</t>
  </si>
  <si>
    <t>ERROR DISTRIBUTION</t>
  </si>
  <si>
    <t>Error Category</t>
  </si>
  <si>
    <t>Count</t>
  </si>
  <si>
    <t>CONTINUOUS IMPROVEMENT ACTIONS</t>
  </si>
  <si>
    <t>KEY INSIGHTS</t>
  </si>
  <si>
    <t>Phase</t>
  </si>
  <si>
    <t>Focus Area</t>
  </si>
  <si>
    <t>Action Plan</t>
  </si>
  <si>
    <t>Methodology</t>
  </si>
  <si>
    <t>• Incorrect Facts remain the most common quality issue.</t>
  </si>
  <si>
    <t>• Safety Violations remain below the acceptable threshold.</t>
  </si>
  <si>
    <t>• Hallucination frequency is low and continues to be monitored.</t>
  </si>
  <si>
    <t>• Reviewer calibration exceeded the target agreement rate.</t>
  </si>
  <si>
    <t>• Continuous improvement actions documented for recurring issues.</t>
  </si>
  <si>
    <t>Prepared by  Poulami Roy Chowdhury   |   AI Quality Evaluation Portfolio   |   July 2026</t>
  </si>
  <si>
    <t>Field</t>
  </si>
  <si>
    <t>Value</t>
  </si>
  <si>
    <t>Dashboard Name</t>
  </si>
  <si>
    <t>AI Quality Evaluation Framework Dashboard</t>
  </si>
  <si>
    <t>Portfolio Type</t>
  </si>
  <si>
    <t>Portfolio Simulation</t>
  </si>
  <si>
    <t>Primary Dataset</t>
  </si>
  <si>
    <t>AI Response Evaluation Dataset (100 Responses)</t>
  </si>
  <si>
    <t>Calibration Dataset</t>
  </si>
  <si>
    <t>Reviewer Calibration Dataset (25 Responses)</t>
  </si>
  <si>
    <t>Metrics Dictionary</t>
  </si>
  <si>
    <t>Metrics_Definitions.xlsx</t>
  </si>
  <si>
    <t>Metrics Guide</t>
  </si>
  <si>
    <t>Quality_Metrics_Guide.docx</t>
  </si>
  <si>
    <t>Version</t>
  </si>
  <si>
    <t>1.0</t>
  </si>
  <si>
    <t>Last Updated</t>
  </si>
  <si>
    <t>July 2026</t>
  </si>
  <si>
    <t>DASHBOARD ARCHITECTURE (THREE LAYERS)</t>
  </si>
  <si>
    <t>Layer 1 — Original Data Source</t>
  </si>
  <si>
    <t>AI_Response_Evaluation_Dataset.xlsx is the master data source (Evaluation_Dataset, 100 evaluated responses). Reviewer_Calibration_Scenarios.xlsx holds the master calibration records (Calibration_Dataset, 25 cases). No KPI is calculated in these workbooks.</t>
  </si>
  <si>
    <t>Layer 2 — Metrics Calculation</t>
  </si>
  <si>
    <t>AI_Quality_Metrics_Framework.xlsx is the single source of KPI calculations. Its EvalData_Source and CalibData_Source worksheets are regenerated from the master datasets, and KPI_Summary applies the live Excel formulas that produce every KPI value.</t>
  </si>
  <si>
    <t>Layer 3 — Executive Reporting</t>
  </si>
  <si>
    <t>AI_Quality_Dashboard.xlsx (this workbook) is an executive reporting snapshot that presents verified KPI values. It performs no KPI calculations and contains no source data.</t>
  </si>
  <si>
    <t>Architecture Statement</t>
  </si>
  <si>
    <t>This workbook is an executive reporting snapshot. All KPI calculations are performed in AI_Quality_Metrics_Framework.xlsx using the source Evaluation Dataset and Reviewer Calibration Dataset. The KPI values published in this dashboard have been independently verified against the source datasets. Refer to the KPI_Calculations worksheet for calculation methodology, traceability, and source references.</t>
  </si>
  <si>
    <t>Data Flow</t>
  </si>
  <si>
    <t>Evaluation / Calibration Dataset  →  Metrics Framework (EvalData_Source / CalibData_Source)  →  KPI_Summary (live formulas)  →  Final_KPI_Values  →  Dashboard KPI Card</t>
  </si>
  <si>
    <t>External Links</t>
  </si>
  <si>
    <t>None. This workbook contains no external workbook references and no duplicated source data.</t>
  </si>
  <si>
    <t>Verification</t>
  </si>
  <si>
    <t>All seven published KPI values independently recomputed from the master datasets and confirmed to match.</t>
  </si>
  <si>
    <t>Metric</t>
  </si>
  <si>
    <t>Status</t>
  </si>
  <si>
    <t>Overall Dataset Quality Score</t>
  </si>
  <si>
    <t>4.49</t>
  </si>
  <si>
    <t>Target Achieved</t>
  </si>
  <si>
    <t>Hallucination Rate</t>
  </si>
  <si>
    <t>4%</t>
  </si>
  <si>
    <t>Below Threshold</t>
  </si>
  <si>
    <t>Safety Compliance</t>
  </si>
  <si>
    <t>93%</t>
  </si>
  <si>
    <t>Near Target</t>
  </si>
  <si>
    <t>Calibration Agreement</t>
  </si>
  <si>
    <t>88%</t>
  </si>
  <si>
    <t>Calculated Value</t>
  </si>
  <si>
    <t>Target Threshold</t>
  </si>
  <si>
    <t>Trend Icon</t>
  </si>
  <si>
    <t>&gt;= 4.0</t>
  </si>
  <si>
    <t>📈</t>
  </si>
  <si>
    <t>Accuracy Rate</t>
  </si>
  <si>
    <t>&gt;= 85.0%</t>
  </si>
  <si>
    <t>📉</t>
  </si>
  <si>
    <t>&lt; 10.0%</t>
  </si>
  <si>
    <t>Safety Compliance Rate</t>
  </si>
  <si>
    <t>&gt;= 95.0%</t>
  </si>
  <si>
    <t>➖</t>
  </si>
  <si>
    <t>Calibration Agreement Rate</t>
  </si>
  <si>
    <t>Error Rate</t>
  </si>
  <si>
    <t>&lt; 50.0%</t>
  </si>
  <si>
    <t>Escalation Rate</t>
  </si>
  <si>
    <t>&lt; 15.0%</t>
  </si>
  <si>
    <t>Defect Volume</t>
  </si>
  <si>
    <t>% of Total Defects</t>
  </si>
  <si>
    <t>Cumulative %</t>
  </si>
  <si>
    <t>Incorrect Facts</t>
  </si>
  <si>
    <t>Safety Violation</t>
  </si>
  <si>
    <t>Hallucination</t>
  </si>
  <si>
    <t>Bias</t>
  </si>
  <si>
    <t>Policy Violation</t>
  </si>
  <si>
    <t>Tone Issue</t>
  </si>
  <si>
    <t>Incomplete Answer</t>
  </si>
  <si>
    <t>Instruction Following Failure</t>
  </si>
  <si>
    <t>Operational Action Plan</t>
  </si>
  <si>
    <t>Recommended Methodology / Tool</t>
  </si>
  <si>
    <t>Define</t>
  </si>
  <si>
    <t>KPI Thresholds</t>
  </si>
  <si>
    <t>Establish clear critical-to-quality (CTQ) benchmarks for AI outputs, specifically targeting the 85% accuracy threshold which is currently underperforming at 66%.</t>
  </si>
  <si>
    <t>Process Capability Analysis</t>
  </si>
  <si>
    <t>Measure</t>
  </si>
  <si>
    <t>Calibration Agreement Trend</t>
  </si>
  <si>
    <t>The 88% calibration agreement rate meets the target, but should be rigorously monitored. Implement continuous reliability tests on the RLHF evaluation scenarios to ensure measurement system integrity.</t>
  </si>
  <si>
    <t>Gage R&amp;R Study</t>
  </si>
  <si>
    <t>Analyze</t>
  </si>
  <si>
    <t>Defect Root Causes</t>
  </si>
  <si>
    <t>Investigate the driving factors behind the 14 "Incorrect Fact" defects and 7 "Safety Violation" violations, which account for over 60% of all system errors.</t>
  </si>
  <si>
    <t>Failure Mode and Effects Analysis (FMEA)</t>
  </si>
  <si>
    <t>Improve</t>
  </si>
  <si>
    <t>Workflow Automation</t>
  </si>
  <si>
    <t>Build an automated webhook pipeline to instantly flag evaluation batches where accuracy drops below the target, routing those specific responses to a secondary human-in-the-loop review queue.</t>
  </si>
  <si>
    <t>Low-code platforms</t>
  </si>
  <si>
    <t>Control</t>
  </si>
  <si>
    <t>Executive Monitoring</t>
  </si>
  <si>
    <t>Finalize the AI Quality Evaluation Dashboard using the standardized metrics from this dataset to maintain ongoing visibility over prompt engineering refinements.</t>
  </si>
  <si>
    <t>Statistical Process Control (SPC) Charts</t>
  </si>
  <si>
    <t>KPI CALCULATION REFERENCE &amp; TRACEABILITY</t>
  </si>
  <si>
    <t>Three-layer architecture: the ORIGINAL DATA SOURCE holds the master evaluation and calibration records; the CALCULATION WORKBOOK (AI_Quality_Metrics_Framework.xlsx) performs all live KPI calculations on worksheets regenerated from those masters; this dashboard is the EXECUTIVE REPORTING SNAPSHOT presenting verified values. Formulas below are reproduced verbatim from the calculation workbook and reference its worksheets.</t>
  </si>
  <si>
    <t>KPI Name</t>
  </si>
  <si>
    <t>Business Definition</t>
  </si>
  <si>
    <t>Original Data Source</t>
  </si>
  <si>
    <t>Calculation Workbook</t>
  </si>
  <si>
    <t>Calculation Worksheet</t>
  </si>
  <si>
    <t>Source Columns (Calculation Worksheet)</t>
  </si>
  <si>
    <t>Calculation Formula (verbatim)</t>
  </si>
  <si>
    <t>Formula Explanation</t>
  </si>
  <si>
    <t>Business Calculation</t>
  </si>
  <si>
    <t>Target</t>
  </si>
  <si>
    <t>Published Value</t>
  </si>
  <si>
    <t>Notes</t>
  </si>
  <si>
    <t>Average response quality across all evaluated AI responses</t>
  </si>
  <si>
    <t>AI_Response_Evaluation_Dataset.xlsx (Evaluation_Dataset, 100 responses)</t>
  </si>
  <si>
    <t>AI_Quality_Metrics_Framework.xlsx</t>
  </si>
  <si>
    <t>EvalData_Source → KPI_Summary</t>
  </si>
  <si>
    <t>G (Overall Score)</t>
  </si>
  <si>
    <t>=ROUND(AVERAGE(EvalData_Source!G2:G101),2)</t>
  </si>
  <si>
    <t>Averages the Overall Score across all 100 evaluated responses, rounded to 2 decimal places.</t>
  </si>
  <si>
    <t>Overall Score is itself the mean of the five scored dimensions (Accuracy, Completeness, Relevance, Clarity, Safety).</t>
  </si>
  <si>
    <t>Percentage of responses demonstrating factual correctness</t>
  </si>
  <si>
    <t>B (Accuracy)</t>
  </si>
  <si>
    <t>=COUNTIF(EvalData_Source!B2:B101,"&gt;=4")/COUNTA(EvalData_Source!B2:B101)</t>
  </si>
  <si>
    <t>Counts responses scoring 4 or higher on the Accuracy dimension, divided by total responses.</t>
  </si>
  <si>
    <t>Currently below target; identified as the primary improvement area in Continuous_Improvement.</t>
  </si>
  <si>
    <t>Percentage of responses containing fabricated or unsupported information</t>
  </si>
  <si>
    <t>H (Error Category)</t>
  </si>
  <si>
    <t>=COUNTIF(EvalData_Source!H2:H101,"Hallucination")/COUNTA(EvalData_Source!A2:A101)</t>
  </si>
  <si>
    <t>Counts responses classified with the canonical error category 'Hallucination', divided by total responses.</t>
  </si>
  <si>
    <t>Uses the canonical 13-category error taxonomy.</t>
  </si>
  <si>
    <t>Percentage of responses meeting AI safety requirements</t>
  </si>
  <si>
    <t>A (Prompt ID), H (Error Category)</t>
  </si>
  <si>
    <t>=(COUNTA(EvalData_Source!A2:A101)-COUNTIF(EvalData_Source!H2:H101,"Safety Violation"))/COUNTA(EvalData_Source!A2:A101)</t>
  </si>
  <si>
    <t>Total responses minus those classified as 'Safety Violation', divided by total responses.</t>
  </si>
  <si>
    <t>Safety Violation is a Critical-severity category requiring immediate escalation.</t>
  </si>
  <si>
    <t>Reviewer consistency during calibration exercises</t>
  </si>
  <si>
    <t>Reviewer_Calibration_Scenarios.xlsx (Calibration_Dataset, 25 cases)</t>
  </si>
  <si>
    <t>CalibData_Source → KPI_Summary</t>
  </si>
  <si>
    <t>A (Scenario ID), B (Initial Agreement)</t>
  </si>
  <si>
    <t>=COUNTIF(CalibData_Source!B2:B26,"Yes")/COUNTA(CalibData_Source!A2:A26)</t>
  </si>
  <si>
    <t>Counts calibration cases where all three reviewers agreed on first pass, divided by total calibration cases.</t>
  </si>
  <si>
    <t>22 of 25 cases reached initial agreement across Reviewers A, B, and C.</t>
  </si>
  <si>
    <t>Percentage of responses containing quality issues</t>
  </si>
  <si>
    <t>=COUNTIF(EvalData_Source!H2:H101,"&lt;&gt;No Error")/COUNTA(EvalData_Source!A2:A101)</t>
  </si>
  <si>
    <t>Counts responses assigned any error category other than 'No Error', divided by total responses.</t>
  </si>
  <si>
    <t>34 of 100 responses carry at least one canonical error category.</t>
  </si>
  <si>
    <t>Frequency of complex review cases requiring escalation</t>
  </si>
  <si>
    <t>A (Scenario ID), F (Escalation Required)</t>
  </si>
  <si>
    <t>=COUNTIF(CalibData_Source!F2:F26,"Immediate")/COUNTA(CalibData_Source!A2:A26)</t>
  </si>
  <si>
    <t>Counts calibration cases flagged for immediate escalation, divided by total calibration cases.</t>
  </si>
  <si>
    <t>Immediate escalation applies to Critical-severity findings routed to Trust &amp; Safety.</t>
  </si>
  <si>
    <t>TRACEABILITY CHAIN — applies to all seven KPIs above</t>
  </si>
  <si>
    <t>AI_Response_Evaluation_Dataset.xlsx (Evaluation_Dataset, 100 responses) and Reviewer_Calibration_Scenarios.xlsx (Calibration_Dataset, 25 cases). These are the master records; no KPI is calculated here.</t>
  </si>
  <si>
    <t>Layer 2 — Calculation Workbook</t>
  </si>
  <si>
    <t>AI_Quality_Metrics_Framework.xlsx. Worksheets EvalData_Source and CalibData_Source are regenerated from the master datasets; KPI_Summary applies the live Excel formulas shown above. This is the single source of KPI calculations.</t>
  </si>
  <si>
    <t>AI_Quality_Dashboard.xlsx. Final_KPI_Values holds the published snapshot, independently verified against the master datasets; Dashboard KPI cards link to it (e.g. =Final_KPI_Values!B2).</t>
  </si>
  <si>
    <t>Full chain</t>
  </si>
  <si>
    <t>Evaluation / Calibration Dataset  →  Metrics Framework (EvalData_Source / CalibData_Source)  →  KPI_Summary (live formulas)  →  Final_KPI_Values (published snapshot)  →  Dashboard KPI Card</t>
  </si>
  <si>
    <t>Note on column references</t>
  </si>
  <si>
    <t>Source Columns above refer to the calculation worksheets (EvalData_Source / CalibData_Source), which the formulas reference. Column positions in the original master datasets differ, as the calculation worksheets carry a reduced column 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</si>
</sst>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26"/>
      <color rgb="FFFFFFFF"/>
      <name val="Aptos"/>
      <charset val="1"/>
    </font>
    <font>
      <sz val="12"/>
      <color rgb="FF404040"/>
      <name val="Aptos"/>
      <charset val="1"/>
    </font>
    <font>
      <b/>
      <sz val="12"/>
      <color rgb="FFFFFFFF"/>
      <name val="Aptos"/>
      <charset val="1"/>
    </font>
    <font>
      <b/>
      <sz val="11"/>
      <color rgb="FF1F4E79"/>
      <name val="Aptos"/>
      <charset val="1"/>
    </font>
    <font>
      <b/>
      <sz val="28"/>
      <color rgb="FF107C10"/>
      <name val="Aptos"/>
      <charset val="1"/>
    </font>
    <font>
      <b/>
      <sz val="28"/>
      <color rgb="FFD83B01"/>
      <name val="Aptos"/>
      <charset val="1"/>
    </font>
    <font>
      <b/>
      <sz val="28"/>
      <color rgb="FFCA5010"/>
      <name val="Aptos"/>
      <charset val="1"/>
    </font>
    <font>
      <sz val="10"/>
      <color rgb="FF808080"/>
      <name val="Aptos"/>
      <charset val="1"/>
    </font>
    <font>
      <b/>
      <sz val="11"/>
      <color rgb="FFFFFFFF"/>
      <name val="Aptos"/>
      <charset val="1"/>
    </font>
    <font>
      <b/>
      <sz val="10"/>
      <color rgb="FFFFFFFF"/>
      <name val="Aptos"/>
      <charset val="1"/>
    </font>
    <font>
      <sz val="10"/>
      <color rgb="FF333333"/>
      <name val="Aptos"/>
      <charset val="1"/>
    </font>
    <font>
      <b/>
      <sz val="9"/>
      <color rgb="FF1F4E79"/>
      <name val="Aptos"/>
      <charset val="1"/>
    </font>
    <font>
      <sz val="9"/>
      <color rgb="FF333333"/>
      <name val="Aptos"/>
      <charset val="1"/>
    </font>
    <font>
      <b/>
      <sz val="11"/>
      <color rgb="FFFFFFFF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3"/>
      <color rgb="FFFFFFFF"/>
      <name val="Calibri"/>
      <charset val="1"/>
    </font>
    <font>
      <i/>
      <sz val="9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8.5"/>
      <name val="Consolas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2E5A8C"/>
      </patternFill>
    </fill>
    <fill>
      <patternFill patternType="solid">
        <fgColor rgb="FFE8E8E8"/>
        <bgColor rgb="FFF2F5F8"/>
      </patternFill>
    </fill>
    <fill>
      <patternFill patternType="solid">
        <fgColor rgb="FFF5F5F5"/>
        <bgColor rgb="FFF4F6F8"/>
      </patternFill>
    </fill>
    <fill>
      <patternFill patternType="solid">
        <fgColor rgb="FFFFFFFF"/>
        <bgColor rgb="FFF8F9FA"/>
      </patternFill>
    </fill>
    <fill>
      <patternFill patternType="solid">
        <fgColor rgb="FFF4F6F8"/>
        <bgColor rgb="FFF2F5F8"/>
      </patternFill>
    </fill>
    <fill>
      <patternFill patternType="solid">
        <fgColor rgb="FF2E5A8C"/>
        <bgColor rgb="FF1F4E79"/>
      </patternFill>
    </fill>
    <fill>
      <patternFill patternType="solid">
        <fgColor rgb="FFF8F9FA"/>
        <bgColor rgb="FFF4F6F8"/>
      </patternFill>
    </fill>
    <fill>
      <patternFill patternType="solid">
        <fgColor rgb="FF203764"/>
        <bgColor rgb="FF1F4E79"/>
      </patternFill>
    </fill>
    <fill>
      <patternFill patternType="solid">
        <fgColor rgb="FFF2F5FA"/>
        <bgColor rgb="FFF2F5F8"/>
      </patternFill>
    </fill>
    <fill>
      <patternFill patternType="solid">
        <fgColor rgb="FFF2F5F8"/>
        <bgColor rgb="FFF2F5FA"/>
      </patternFill>
    </fill>
  </fills>
  <borders count="34">
    <border>
      <left/>
      <right/>
      <top/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 style="thin">
        <color rgb="FFD8D8D8"/>
      </left>
      <right style="thin">
        <color rgb="FFB0B0B0"/>
      </right>
      <top style="thin">
        <color rgb="FFD8D8D8"/>
      </top>
      <bottom/>
      <diagonal/>
    </border>
    <border>
      <left style="thin">
        <color rgb="FFD8D8D8"/>
      </left>
      <right/>
      <top/>
      <bottom/>
      <diagonal/>
    </border>
    <border>
      <left style="thin">
        <color rgb="FFD8D8D8"/>
      </left>
      <right style="thin">
        <color rgb="FFB0B0B0"/>
      </right>
      <top/>
      <bottom/>
      <diagonal/>
    </border>
    <border>
      <left style="thin">
        <color rgb="FFD8D8D8"/>
      </left>
      <right/>
      <top/>
      <bottom style="thin">
        <color rgb="FFB0B0B0"/>
      </bottom>
      <diagonal/>
    </border>
    <border>
      <left style="thin">
        <color rgb="FFD8D8D8"/>
      </left>
      <right style="thin">
        <color rgb="FFB0B0B0"/>
      </right>
      <top/>
      <bottom style="thin">
        <color rgb="FFB0B0B0"/>
      </bottom>
      <diagonal/>
    </border>
    <border>
      <left style="thin">
        <color rgb="FFD0D0D0"/>
      </left>
      <right style="thin">
        <color rgb="FFE8E8E8"/>
      </right>
      <top style="thin">
        <color rgb="FFD0D0D0"/>
      </top>
      <bottom style="thin">
        <color rgb="FFE8E8E8"/>
      </bottom>
      <diagonal/>
    </border>
    <border>
      <left style="thin">
        <color rgb="FFE8E8E8"/>
      </left>
      <right style="thin">
        <color rgb="FFD0D0D0"/>
      </right>
      <top style="thin">
        <color rgb="FFD0D0D0"/>
      </top>
      <bottom style="thin">
        <color rgb="FFE8E8E8"/>
      </bottom>
      <diagonal/>
    </border>
    <border>
      <left style="thin">
        <color rgb="FFD0D0D0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D0D0D0"/>
      </right>
      <top style="thin">
        <color rgb="FFE8E8E8"/>
      </top>
      <bottom style="thin">
        <color rgb="FFE8E8E8"/>
      </bottom>
      <diagonal/>
    </border>
    <border>
      <left style="thin">
        <color rgb="FFD0D0D0"/>
      </left>
      <right style="thin">
        <color rgb="FFE8E8E8"/>
      </right>
      <top style="thin">
        <color rgb="FFE8E8E8"/>
      </top>
      <bottom style="thin">
        <color rgb="FFD0D0D0"/>
      </bottom>
      <diagonal/>
    </border>
    <border>
      <left style="thin">
        <color rgb="FFE8E8E8"/>
      </left>
      <right style="thin">
        <color rgb="FFD0D0D0"/>
      </right>
      <top style="thin">
        <color rgb="FFE8E8E8"/>
      </top>
      <bottom style="thin">
        <color rgb="FFD0D0D0"/>
      </bottom>
      <diagonal/>
    </border>
    <border>
      <left style="thin">
        <color rgb="FFE8E8E8"/>
      </left>
      <right style="thin">
        <color rgb="FFE8E8E8"/>
      </right>
      <top style="thin">
        <color rgb="FFD0D0D0"/>
      </top>
      <bottom style="thin">
        <color rgb="FFE8E8E8"/>
      </bottom>
      <diagonal/>
    </border>
    <border>
      <left style="thin">
        <color rgb="FFE8E8E8"/>
      </left>
      <right/>
      <top style="thin">
        <color rgb="FFD0D0D0"/>
      </top>
      <bottom style="thin">
        <color rgb="FFE8E8E8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/>
      <top style="thin">
        <color rgb="FFE8E8E8"/>
      </top>
      <bottom style="thin">
        <color rgb="FFE8E8E8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 style="thin">
        <color rgb="FFE8E8E8"/>
      </right>
      <top style="thin">
        <color rgb="FFE8E8E8"/>
      </top>
      <bottom/>
      <diagonal/>
    </border>
    <border>
      <left style="thin">
        <color rgb="FFE8E8E8"/>
      </left>
      <right style="thin">
        <color rgb="FFE8E8E8"/>
      </right>
      <top style="thin">
        <color rgb="FFE8E8E8"/>
      </top>
      <bottom/>
      <diagonal/>
    </border>
    <border>
      <left style="thin">
        <color rgb="FFE8E8E8"/>
      </left>
      <right/>
      <top style="thin">
        <color rgb="FFE8E8E8"/>
      </top>
      <bottom/>
      <diagonal/>
    </border>
    <border>
      <left/>
      <right/>
      <top style="thin">
        <color rgb="FFD0D0D0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8D8D8"/>
      </top>
      <bottom/>
      <diagonal/>
    </border>
    <border>
      <left/>
      <right style="thin">
        <color rgb="FFB0B0B0"/>
      </right>
      <top style="thin">
        <color rgb="FFD8D8D8"/>
      </top>
      <bottom/>
      <diagonal/>
    </border>
    <border>
      <left/>
      <right style="thin">
        <color rgb="FFB0B0B0"/>
      </right>
      <top/>
      <bottom/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4" borderId="0" xfId="0" applyFill="1"/>
    <xf numFmtId="0" fontId="0" fillId="6" borderId="0" xfId="0" applyFill="1"/>
    <xf numFmtId="0" fontId="10" fillId="7" borderId="7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left" vertical="center" indent="1"/>
    </xf>
    <xf numFmtId="0" fontId="11" fillId="5" borderId="10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left" vertical="center" indent="1"/>
    </xf>
    <xf numFmtId="0" fontId="11" fillId="8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indent="1"/>
    </xf>
    <xf numFmtId="0" fontId="11" fillId="8" borderId="12" xfId="0" applyFont="1" applyFill="1" applyBorder="1" applyAlignment="1">
      <alignment horizontal="center" vertical="center"/>
    </xf>
    <xf numFmtId="0" fontId="10" fillId="7" borderId="13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 vertical="center" wrapText="1"/>
    </xf>
    <xf numFmtId="0" fontId="13" fillId="5" borderId="16" xfId="0" applyFont="1" applyFill="1" applyBorder="1" applyAlignment="1">
      <alignment horizontal="left" vertical="center" wrapText="1"/>
    </xf>
    <xf numFmtId="0" fontId="13" fillId="5" borderId="17" xfId="0" applyFont="1" applyFill="1" applyBorder="1" applyAlignment="1">
      <alignment horizontal="left" vertical="center" wrapText="1"/>
    </xf>
    <xf numFmtId="0" fontId="12" fillId="8" borderId="9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left" vertical="center" wrapText="1"/>
    </xf>
    <xf numFmtId="0" fontId="13" fillId="8" borderId="17" xfId="0" applyFont="1" applyFill="1" applyBorder="1" applyAlignment="1">
      <alignment horizontal="left" vertical="center" wrapText="1"/>
    </xf>
    <xf numFmtId="0" fontId="12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left" vertical="center" wrapText="1"/>
    </xf>
    <xf numFmtId="0" fontId="13" fillId="5" borderId="21" xfId="0" applyFont="1" applyFill="1" applyBorder="1" applyAlignment="1">
      <alignment horizontal="left" vertical="center" wrapText="1"/>
    </xf>
    <xf numFmtId="0" fontId="0" fillId="4" borderId="22" xfId="0" applyFill="1" applyBorder="1"/>
    <xf numFmtId="0" fontId="14" fillId="9" borderId="24" xfId="0" applyFont="1" applyFill="1" applyBorder="1" applyAlignment="1">
      <alignment horizontal="center" vertical="center"/>
    </xf>
    <xf numFmtId="0" fontId="0" fillId="10" borderId="24" xfId="0" applyFill="1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164" fontId="0" fillId="0" borderId="24" xfId="0" applyNumberFormat="1" applyBorder="1" applyAlignment="1">
      <alignment vertical="center" wrapText="1"/>
    </xf>
    <xf numFmtId="164" fontId="0" fillId="10" borderId="24" xfId="0" applyNumberFormat="1" applyFill="1" applyBorder="1" applyAlignment="1">
      <alignment vertical="center" wrapText="1"/>
    </xf>
    <xf numFmtId="0" fontId="19" fillId="9" borderId="0" xfId="0" applyFont="1" applyFill="1" applyAlignment="1">
      <alignment horizontal="left" vertical="center" wrapText="1"/>
    </xf>
    <xf numFmtId="0" fontId="20" fillId="11" borderId="25" xfId="0" applyFont="1" applyFill="1" applyBorder="1" applyAlignment="1">
      <alignment horizontal="left" vertical="top" wrapText="1"/>
    </xf>
    <xf numFmtId="0" fontId="21" fillId="11" borderId="25" xfId="0" applyFont="1" applyFill="1" applyBorder="1" applyAlignment="1">
      <alignment horizontal="left" vertical="top" wrapText="1"/>
    </xf>
    <xf numFmtId="0" fontId="22" fillId="11" borderId="25" xfId="0" applyFont="1" applyFill="1" applyBorder="1" applyAlignment="1">
      <alignment horizontal="left" vertical="top" wrapText="1"/>
    </xf>
    <xf numFmtId="0" fontId="21" fillId="11" borderId="25" xfId="0" applyFont="1" applyFill="1" applyBorder="1" applyAlignment="1">
      <alignment horizontal="center" vertical="top" wrapText="1"/>
    </xf>
    <xf numFmtId="2" fontId="21" fillId="11" borderId="25" xfId="0" applyNumberFormat="1" applyFont="1" applyFill="1" applyBorder="1" applyAlignment="1">
      <alignment horizontal="center" vertical="top" wrapText="1"/>
    </xf>
    <xf numFmtId="0" fontId="20" fillId="5" borderId="25" xfId="0" applyFont="1" applyFill="1" applyBorder="1" applyAlignment="1">
      <alignment horizontal="left" vertical="top" wrapText="1"/>
    </xf>
    <xf numFmtId="0" fontId="21" fillId="5" borderId="25" xfId="0" applyFont="1" applyFill="1" applyBorder="1" applyAlignment="1">
      <alignment horizontal="left" vertical="top" wrapText="1"/>
    </xf>
    <xf numFmtId="0" fontId="22" fillId="5" borderId="25" xfId="0" applyFont="1" applyFill="1" applyBorder="1" applyAlignment="1">
      <alignment horizontal="left" vertical="top" wrapText="1"/>
    </xf>
    <xf numFmtId="0" fontId="21" fillId="5" borderId="25" xfId="0" applyFont="1" applyFill="1" applyBorder="1" applyAlignment="1">
      <alignment horizontal="center" vertical="top" wrapText="1"/>
    </xf>
    <xf numFmtId="9" fontId="21" fillId="5" borderId="25" xfId="0" applyNumberFormat="1" applyFont="1" applyFill="1" applyBorder="1" applyAlignment="1">
      <alignment horizontal="center" vertical="top" wrapText="1"/>
    </xf>
    <xf numFmtId="9" fontId="21" fillId="11" borderId="25" xfId="0" applyNumberFormat="1" applyFont="1" applyFill="1" applyBorder="1" applyAlignment="1">
      <alignment horizontal="center" vertical="top" wrapText="1"/>
    </xf>
    <xf numFmtId="0" fontId="20" fillId="11" borderId="25" xfId="0" applyFont="1" applyFill="1" applyBorder="1" applyAlignment="1">
      <alignment vertical="top" wrapText="1"/>
    </xf>
    <xf numFmtId="0" fontId="20" fillId="5" borderId="25" xfId="0" applyFont="1" applyFill="1" applyBorder="1" applyAlignment="1">
      <alignment vertical="top" wrapText="1"/>
    </xf>
    <xf numFmtId="9" fontId="5" fillId="5" borderId="4" xfId="0" applyNumberFormat="1" applyFont="1" applyFill="1" applyBorder="1" applyAlignment="1">
      <alignment horizontal="center" vertical="center"/>
    </xf>
    <xf numFmtId="0" fontId="0" fillId="0" borderId="28" xfId="0" applyBorder="1"/>
    <xf numFmtId="0" fontId="4" fillId="5" borderId="1" xfId="0" applyFont="1" applyFill="1" applyBorder="1" applyAlignment="1">
      <alignment horizontal="center" vertical="center"/>
    </xf>
    <xf numFmtId="0" fontId="0" fillId="0" borderId="26" xfId="0" applyBorder="1"/>
    <xf numFmtId="0" fontId="8" fillId="4" borderId="23" xfId="0" applyFont="1" applyFill="1" applyBorder="1" applyAlignment="1">
      <alignment horizontal="left" vertical="center" indent="1"/>
    </xf>
    <xf numFmtId="0" fontId="0" fillId="0" borderId="23" xfId="0" applyBorder="1"/>
    <xf numFmtId="0" fontId="11" fillId="5" borderId="18" xfId="0" applyFont="1" applyFill="1" applyBorder="1" applyAlignment="1">
      <alignment horizontal="left" vertical="center" indent="1"/>
    </xf>
    <xf numFmtId="0" fontId="0" fillId="0" borderId="0" xfId="0"/>
    <xf numFmtId="0" fontId="0" fillId="0" borderId="33" xfId="0" applyBorder="1"/>
    <xf numFmtId="0" fontId="9" fillId="2" borderId="0" xfId="0" applyFont="1" applyFill="1" applyAlignment="1">
      <alignment horizontal="center" vertical="center"/>
    </xf>
    <xf numFmtId="9" fontId="7" fillId="5" borderId="4" xfId="0" applyNumberFormat="1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0" fillId="0" borderId="30" xfId="0" applyBorder="1"/>
    <xf numFmtId="0" fontId="8" fillId="5" borderId="5" xfId="0" applyFont="1" applyFill="1" applyBorder="1" applyAlignment="1">
      <alignment horizontal="center" vertical="center"/>
    </xf>
    <xf numFmtId="0" fontId="0" fillId="0" borderId="29" xfId="0" applyBorder="1"/>
    <xf numFmtId="9" fontId="5" fillId="5" borderId="3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0" borderId="27" xfId="0" applyBorder="1"/>
    <xf numFmtId="0" fontId="11" fillId="5" borderId="15" xfId="0" applyFont="1" applyFill="1" applyBorder="1" applyAlignment="1">
      <alignment horizontal="left" vertical="center" indent="1"/>
    </xf>
    <xf numFmtId="0" fontId="0" fillId="0" borderId="31" xfId="0" applyBorder="1"/>
    <xf numFmtId="0" fontId="0" fillId="0" borderId="32" xfId="0" applyBorder="1"/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" fontId="5" fillId="5" borderId="3" xfId="0" applyNumberFormat="1" applyFont="1" applyFill="1" applyBorder="1" applyAlignment="1">
      <alignment horizontal="center" vertical="center"/>
    </xf>
    <xf numFmtId="9" fontId="6" fillId="5" borderId="3" xfId="0" applyNumberFormat="1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 indent="1"/>
    </xf>
    <xf numFmtId="0" fontId="18" fillId="0" borderId="0" xfId="0" applyFont="1" applyAlignment="1">
      <alignment vertical="center" wrapText="1"/>
    </xf>
    <xf numFmtId="0" fontId="21" fillId="11" borderId="25" xfId="0" applyFont="1" applyFill="1" applyBorder="1" applyAlignment="1">
      <alignment vertical="top" wrapText="1"/>
    </xf>
    <xf numFmtId="0" fontId="0" fillId="0" borderId="25" xfId="0" applyBorder="1"/>
    <xf numFmtId="0" fontId="21" fillId="5" borderId="25" xfId="0" applyFont="1" applyFill="1" applyBorder="1" applyAlignment="1">
      <alignment vertical="top" wrapText="1"/>
    </xf>
    <xf numFmtId="0" fontId="17" fillId="9" borderId="0" xfId="0" applyFont="1" applyFill="1" applyAlignment="1">
      <alignment vertical="center" indent="1"/>
    </xf>
    <xf numFmtId="0" fontId="19" fillId="9" borderId="0" xfId="0" applyFont="1" applyFill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6F8"/>
      <rgbColor rgb="FFFF00FF"/>
      <rgbColor rgb="FF00FFFF"/>
      <rgbColor rgb="FF800000"/>
      <rgbColor rgb="FF107C10"/>
      <rgbColor rgb="FF000080"/>
      <rgbColor rgb="FF8AA64F"/>
      <rgbColor rgb="FF800080"/>
      <rgbColor rgb="FF4F81BD"/>
      <rgbColor rgb="FFCCCCCC"/>
      <rgbColor rgb="FF808080"/>
      <rgbColor rgb="FF93A9CE"/>
      <rgbColor rgb="FFAB4744"/>
      <rgbColor rgb="FFF8F9FA"/>
      <rgbColor rgb="FFF2F5FA"/>
      <rgbColor rgb="FF660066"/>
      <rgbColor rgb="FFDC853E"/>
      <rgbColor rgb="FF2E5A8C"/>
      <rgbColor rgb="FFD3D3D3"/>
      <rgbColor rgb="FF000080"/>
      <rgbColor rgb="FFFF00FF"/>
      <rgbColor rgb="FFFFFF00"/>
      <rgbColor rgb="FF00FFFF"/>
      <rgbColor rgb="FF800080"/>
      <rgbColor rgb="FF800000"/>
      <rgbColor rgb="FF595959"/>
      <rgbColor rgb="FF0000FF"/>
      <rgbColor rgb="FF00CCFF"/>
      <rgbColor rgb="FFF2F5F8"/>
      <rgbColor rgb="FFE8E8E8"/>
      <rgbColor rgb="FFF5F5F5"/>
      <rgbColor rgb="FFD0D0D0"/>
      <rgbColor rgb="FFD09493"/>
      <rgbColor rgb="FFB0B0B0"/>
      <rgbColor rgb="FFD8D8D8"/>
      <rgbColor rgb="FF4672A8"/>
      <rgbColor rgb="FF33CCCC"/>
      <rgbColor rgb="FF99CC00"/>
      <rgbColor rgb="FFD9D9D9"/>
      <rgbColor rgb="FFFF9900"/>
      <rgbColor rgb="FFED7D31"/>
      <rgbColor rgb="FF725990"/>
      <rgbColor rgb="FF878787"/>
      <rgbColor rgb="FF203764"/>
      <rgbColor rgb="FF4299B0"/>
      <rgbColor rgb="FF666666"/>
      <rgbColor rgb="FF404040"/>
      <rgbColor rgb="FFD83B01"/>
      <rgbColor rgb="FFCA5010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100" b="1" strike="noStrike" spc="-1">
                <a:solidFill>
                  <a:srgbClr val="1F4E79"/>
                </a:solidFill>
                <a:latin typeface="Aptos"/>
                <a:ea typeface="Aptos"/>
              </a:defRPr>
            </a:pPr>
            <a:r>
              <a:rPr lang="en-US" sz="1100" b="1" strike="noStrike" spc="-1">
                <a:solidFill>
                  <a:srgbClr val="1F4E79"/>
                </a:solidFill>
                <a:latin typeface="Aptos"/>
                <a:ea typeface="Aptos"/>
              </a:rPr>
              <a:t>Top AI Response Errors (Pareto Analysis)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Defect_Pareto_Analysis!$B$1</c:f>
              <c:strCache>
                <c:ptCount val="1"/>
                <c:pt idx="0">
                  <c:v>Defect Volume</c:v>
                </c:pt>
              </c:strCache>
            </c:strRef>
          </c:tx>
          <c:spPr>
            <a:solidFill>
              <a:srgbClr val="1F4E79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800" b="0" strike="noStrike" spc="-1">
                    <a:solidFill>
                      <a:srgbClr val="404040"/>
                    </a:solidFill>
                    <a:latin typeface="Aptos"/>
                    <a:ea typeface="Apto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Defect_Pareto_Analysis!$A$2:$A$9</c:f>
              <c:strCache>
                <c:ptCount val="8"/>
                <c:pt idx="0">
                  <c:v>Incorrect Facts</c:v>
                </c:pt>
                <c:pt idx="1">
                  <c:v>Safety Violation</c:v>
                </c:pt>
                <c:pt idx="2">
                  <c:v>Hallucination</c:v>
                </c:pt>
                <c:pt idx="3">
                  <c:v>Bias</c:v>
                </c:pt>
                <c:pt idx="4">
                  <c:v>Policy Violation</c:v>
                </c:pt>
                <c:pt idx="5">
                  <c:v>Tone Issue</c:v>
                </c:pt>
                <c:pt idx="6">
                  <c:v>Incomplete Answer</c:v>
                </c:pt>
                <c:pt idx="7">
                  <c:v>Instruction Following Failure</c:v>
                </c:pt>
              </c:strCache>
            </c:strRef>
          </c:cat>
          <c:val>
            <c:numRef>
              <c:f>Defect_Pareto_Analysis!$B$2:$B$9</c:f>
              <c:numCache>
                <c:formatCode>General</c:formatCode>
                <c:ptCount val="8"/>
                <c:pt idx="0">
                  <c:v>14</c:v>
                </c:pt>
                <c:pt idx="1">
                  <c:v>7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0-4DDA-9BC1-374695DE6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433339"/>
        <c:axId val="32461632"/>
      </c:barChart>
      <c:lineChart>
        <c:grouping val="standard"/>
        <c:varyColors val="0"/>
        <c:ser>
          <c:idx val="1"/>
          <c:order val="1"/>
          <c:tx>
            <c:v>Cumulative %</c:v>
          </c:tx>
          <c:spPr>
            <a:ln w="31680" cap="rnd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Defect_Pareto_Analysis!$A$2:$A$9</c:f>
              <c:strCache>
                <c:ptCount val="8"/>
                <c:pt idx="0">
                  <c:v>Incorrect Facts</c:v>
                </c:pt>
                <c:pt idx="1">
                  <c:v>Safety Violation</c:v>
                </c:pt>
                <c:pt idx="2">
                  <c:v>Hallucination</c:v>
                </c:pt>
                <c:pt idx="3">
                  <c:v>Bias</c:v>
                </c:pt>
                <c:pt idx="4">
                  <c:v>Policy Violation</c:v>
                </c:pt>
                <c:pt idx="5">
                  <c:v>Tone Issue</c:v>
                </c:pt>
                <c:pt idx="6">
                  <c:v>Incomplete Answer</c:v>
                </c:pt>
                <c:pt idx="7">
                  <c:v>Instruction Following Failure</c:v>
                </c:pt>
              </c:strCache>
            </c:strRef>
          </c:cat>
          <c:val>
            <c:numRef>
              <c:f>Defect_Pareto_Analysis!$D$2:$D$9</c:f>
              <c:numCache>
                <c:formatCode>0.0%</c:formatCode>
                <c:ptCount val="8"/>
                <c:pt idx="0">
                  <c:v>0.41170000000000001</c:v>
                </c:pt>
                <c:pt idx="1">
                  <c:v>0.61760000000000004</c:v>
                </c:pt>
                <c:pt idx="2">
                  <c:v>0.73519999999999996</c:v>
                </c:pt>
                <c:pt idx="3">
                  <c:v>0.85289999999999999</c:v>
                </c:pt>
                <c:pt idx="4">
                  <c:v>0.91169999999999995</c:v>
                </c:pt>
                <c:pt idx="5">
                  <c:v>0.94110000000000005</c:v>
                </c:pt>
                <c:pt idx="6">
                  <c:v>0.97050000000000003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D0-4DDA-9BC1-374695DE6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73068785"/>
        <c:axId val="51398693"/>
      </c:lineChart>
      <c:catAx>
        <c:axId val="92433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0D0D0"/>
            </a:solidFill>
            <a:prstDash val="solid"/>
            <a:round/>
          </a:ln>
        </c:spPr>
        <c:txPr>
          <a:bodyPr rot="2700000"/>
          <a:lstStyle/>
          <a:p>
            <a:pPr>
              <a:defRPr sz="800" b="0" strike="noStrike" spc="-1">
                <a:solidFill>
                  <a:srgbClr val="666666"/>
                </a:solidFill>
                <a:latin typeface="Aptos"/>
                <a:ea typeface="Aptos"/>
              </a:defRPr>
            </a:pPr>
            <a:endParaRPr lang="en-US"/>
          </a:p>
        </c:txPr>
        <c:crossAx val="32461632"/>
        <c:crosses val="autoZero"/>
        <c:auto val="1"/>
        <c:lblAlgn val="ctr"/>
        <c:lblOffset val="100"/>
        <c:noMultiLvlLbl val="0"/>
      </c:catAx>
      <c:valAx>
        <c:axId val="3246163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D0D0D0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666666"/>
                </a:solidFill>
                <a:latin typeface="Aptos"/>
                <a:ea typeface="Aptos"/>
              </a:defRPr>
            </a:pPr>
            <a:endParaRPr lang="en-US"/>
          </a:p>
        </c:txPr>
        <c:crossAx val="92433339"/>
        <c:crosses val="autoZero"/>
        <c:crossBetween val="between"/>
      </c:valAx>
      <c:catAx>
        <c:axId val="7306878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398693"/>
        <c:crosses val="autoZero"/>
        <c:auto val="1"/>
        <c:lblAlgn val="ctr"/>
        <c:lblOffset val="100"/>
        <c:noMultiLvlLbl val="0"/>
      </c:catAx>
      <c:valAx>
        <c:axId val="51398693"/>
        <c:scaling>
          <c:orientation val="minMax"/>
          <c:max val="1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ln w="9360">
            <a:solidFill>
              <a:srgbClr val="D0D0D0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"/>
                <a:ea typeface="Aptos"/>
              </a:defRPr>
            </a:pPr>
            <a:endParaRPr lang="en-US"/>
          </a:p>
        </c:txPr>
        <c:crossAx val="73068785"/>
        <c:crosses val="max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"/>
              <a:ea typeface="Apto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5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Defect Pareto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Defect_Pareto_Analysis!$B$1</c:f>
              <c:strCache>
                <c:ptCount val="1"/>
                <c:pt idx="0">
                  <c:v>Defect Volume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1"/>
            <c:bubble3D val="0"/>
            <c:spPr>
              <a:solidFill>
                <a:srgbClr val="4672A8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648-4EA7-A0E0-B0BA9A07219F}"/>
              </c:ext>
            </c:extLst>
          </c:dPt>
          <c:dPt>
            <c:idx val="1"/>
            <c:invertIfNegative val="1"/>
            <c:bubble3D val="0"/>
            <c:spPr>
              <a:solidFill>
                <a:srgbClr val="AB4744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648-4EA7-A0E0-B0BA9A07219F}"/>
              </c:ext>
            </c:extLst>
          </c:dPt>
          <c:dPt>
            <c:idx val="2"/>
            <c:invertIfNegative val="1"/>
            <c:bubble3D val="0"/>
            <c:spPr>
              <a:solidFill>
                <a:srgbClr val="8AA64F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648-4EA7-A0E0-B0BA9A07219F}"/>
              </c:ext>
            </c:extLst>
          </c:dPt>
          <c:dPt>
            <c:idx val="3"/>
            <c:invertIfNegative val="1"/>
            <c:bubble3D val="0"/>
            <c:spPr>
              <a:solidFill>
                <a:srgbClr val="72599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648-4EA7-A0E0-B0BA9A07219F}"/>
              </c:ext>
            </c:extLst>
          </c:dPt>
          <c:dPt>
            <c:idx val="4"/>
            <c:invertIfNegative val="1"/>
            <c:bubble3D val="0"/>
            <c:spPr>
              <a:solidFill>
                <a:srgbClr val="4299B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648-4EA7-A0E0-B0BA9A07219F}"/>
              </c:ext>
            </c:extLst>
          </c:dPt>
          <c:dPt>
            <c:idx val="5"/>
            <c:invertIfNegative val="1"/>
            <c:bubble3D val="0"/>
            <c:spPr>
              <a:solidFill>
                <a:srgbClr val="DC853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648-4EA7-A0E0-B0BA9A07219F}"/>
              </c:ext>
            </c:extLst>
          </c:dPt>
          <c:dPt>
            <c:idx val="6"/>
            <c:invertIfNegative val="1"/>
            <c:bubble3D val="0"/>
            <c:spPr>
              <a:solidFill>
                <a:srgbClr val="93A9C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648-4EA7-A0E0-B0BA9A07219F}"/>
              </c:ext>
            </c:extLst>
          </c:dPt>
          <c:dPt>
            <c:idx val="7"/>
            <c:invertIfNegative val="1"/>
            <c:bubble3D val="0"/>
            <c:spPr>
              <a:solidFill>
                <a:srgbClr val="D09493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648-4EA7-A0E0-B0BA9A07219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648-4EA7-A0E0-B0BA9A07219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648-4EA7-A0E0-B0BA9A07219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648-4EA7-A0E0-B0BA9A07219F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4648-4EA7-A0E0-B0BA9A07219F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4648-4EA7-A0E0-B0BA9A07219F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4648-4EA7-A0E0-B0BA9A07219F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4648-4EA7-A0E0-B0BA9A07219F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4648-4EA7-A0E0-B0BA9A072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Defect_Pareto_Analysis!$A$2:$A$9</c:f>
              <c:strCache>
                <c:ptCount val="8"/>
                <c:pt idx="0">
                  <c:v>Incorrect Facts</c:v>
                </c:pt>
                <c:pt idx="1">
                  <c:v>Safety Violation</c:v>
                </c:pt>
                <c:pt idx="2">
                  <c:v>Hallucination</c:v>
                </c:pt>
                <c:pt idx="3">
                  <c:v>Bias</c:v>
                </c:pt>
                <c:pt idx="4">
                  <c:v>Policy Violation</c:v>
                </c:pt>
                <c:pt idx="5">
                  <c:v>Tone Issue</c:v>
                </c:pt>
                <c:pt idx="6">
                  <c:v>Incomplete Answer</c:v>
                </c:pt>
                <c:pt idx="7">
                  <c:v>Instruction Following Failure</c:v>
                </c:pt>
              </c:strCache>
            </c:strRef>
          </c:cat>
          <c:val>
            <c:numRef>
              <c:f>Defect_Pareto_Analysis!$B$2:$B$9</c:f>
              <c:numCache>
                <c:formatCode>General</c:formatCode>
                <c:ptCount val="8"/>
                <c:pt idx="0">
                  <c:v>14</c:v>
                </c:pt>
                <c:pt idx="1">
                  <c:v>7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648-4EA7-A0E0-B0BA9A072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37466"/>
        <c:axId val="88798226"/>
      </c:barChart>
      <c:catAx>
        <c:axId val="55737466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Error Category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88798226"/>
        <c:crosses val="autoZero"/>
        <c:auto val="1"/>
        <c:lblAlgn val="ctr"/>
        <c:lblOffset val="100"/>
        <c:noMultiLvlLbl val="0"/>
      </c:catAx>
      <c:valAx>
        <c:axId val="88798226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Volume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5573746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15</xdr:row>
      <xdr:rowOff>0</xdr:rowOff>
    </xdr:from>
    <xdr:to>
      <xdr:col>3</xdr:col>
      <xdr:colOff>1087200</xdr:colOff>
      <xdr:row>22</xdr:row>
      <xdr:rowOff>48600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15</xdr:col>
      <xdr:colOff>362880</xdr:colOff>
      <xdr:row>20</xdr:row>
      <xdr:rowOff>159480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showGridLines="0" showRowColHeaders="0" tabSelected="1" zoomScaleNormal="100" workbookViewId="0">
      <selection sqref="A1:H2"/>
    </sheetView>
  </sheetViews>
  <sheetFormatPr defaultColWidth="8.6328125" defaultRowHeight="14.5" x14ac:dyDescent="0.35"/>
  <cols>
    <col min="1" max="2" width="15.453125" customWidth="1"/>
    <col min="3" max="3" width="27.26953125" customWidth="1"/>
    <col min="4" max="4" width="15.453125" customWidth="1"/>
    <col min="5" max="5" width="30" customWidth="1"/>
    <col min="6" max="6" width="9.08984375" customWidth="1"/>
    <col min="7" max="8" width="15.453125" customWidth="1"/>
  </cols>
  <sheetData>
    <row r="1" spans="1:8" ht="45" customHeight="1" x14ac:dyDescent="0.35">
      <c r="A1" s="67" t="s">
        <v>0</v>
      </c>
      <c r="B1" s="51"/>
      <c r="C1" s="51"/>
      <c r="D1" s="51"/>
      <c r="E1" s="51"/>
      <c r="F1" s="51"/>
      <c r="G1" s="51"/>
      <c r="H1" s="51"/>
    </row>
    <row r="2" spans="1:8" ht="45" customHeight="1" x14ac:dyDescent="0.35">
      <c r="A2" s="51"/>
      <c r="B2" s="51"/>
      <c r="C2" s="51"/>
      <c r="D2" s="51"/>
      <c r="E2" s="51"/>
      <c r="F2" s="51"/>
      <c r="G2" s="51"/>
      <c r="H2" s="51"/>
    </row>
    <row r="3" spans="1:8" ht="30" customHeight="1" x14ac:dyDescent="0.35">
      <c r="A3" s="60" t="s">
        <v>1</v>
      </c>
      <c r="B3" s="51"/>
      <c r="C3" s="51"/>
      <c r="D3" s="51"/>
      <c r="E3" s="51"/>
      <c r="F3" s="51"/>
      <c r="G3" s="51"/>
      <c r="H3" s="51"/>
    </row>
    <row r="4" spans="1:8" ht="12" customHeight="1" x14ac:dyDescent="0.35">
      <c r="A4" s="1"/>
      <c r="B4" s="1"/>
      <c r="C4" s="1"/>
      <c r="D4" s="1"/>
      <c r="E4" s="1"/>
      <c r="F4" s="1"/>
      <c r="G4" s="1"/>
      <c r="H4" s="1"/>
    </row>
    <row r="5" spans="1:8" ht="27.75" customHeight="1" x14ac:dyDescent="0.35">
      <c r="A5" s="66" t="s">
        <v>2</v>
      </c>
      <c r="B5" s="51"/>
      <c r="C5" s="51"/>
      <c r="D5" s="51"/>
      <c r="E5" s="51"/>
      <c r="F5" s="51"/>
      <c r="G5" s="51"/>
      <c r="H5" s="51"/>
    </row>
    <row r="6" spans="1:8" ht="9.75" customHeight="1" x14ac:dyDescent="0.35">
      <c r="A6" s="1"/>
      <c r="B6" s="1"/>
      <c r="C6" s="1"/>
      <c r="D6" s="1"/>
      <c r="E6" s="1"/>
      <c r="F6" s="1"/>
      <c r="G6" s="1"/>
      <c r="H6" s="1"/>
    </row>
    <row r="7" spans="1:8" ht="27.75" customHeight="1" x14ac:dyDescent="0.35">
      <c r="A7" s="46" t="s">
        <v>3</v>
      </c>
      <c r="B7" s="47"/>
      <c r="C7" s="46" t="s">
        <v>4</v>
      </c>
      <c r="D7" s="47"/>
      <c r="E7" s="61" t="s">
        <v>5</v>
      </c>
      <c r="F7" s="62"/>
      <c r="G7" s="1"/>
      <c r="H7" s="1"/>
    </row>
    <row r="8" spans="1:8" ht="49.5" customHeight="1" x14ac:dyDescent="0.35">
      <c r="A8" s="68">
        <f>Final_KPI_Values!B2</f>
        <v>4.49</v>
      </c>
      <c r="B8" s="51"/>
      <c r="C8" s="69">
        <f>Final_KPI_Values!B3</f>
        <v>0.66</v>
      </c>
      <c r="D8" s="51"/>
      <c r="E8" s="54">
        <f>Final_KPI_Values!B5</f>
        <v>0.93</v>
      </c>
      <c r="F8" s="45"/>
      <c r="G8" s="1"/>
      <c r="H8" s="1"/>
    </row>
    <row r="9" spans="1:8" ht="21.75" customHeight="1" x14ac:dyDescent="0.35">
      <c r="A9" s="57" t="s">
        <v>6</v>
      </c>
      <c r="B9" s="58"/>
      <c r="C9" s="57" t="s">
        <v>7</v>
      </c>
      <c r="D9" s="58"/>
      <c r="E9" s="55" t="s">
        <v>8</v>
      </c>
      <c r="F9" s="56"/>
      <c r="G9" s="1"/>
      <c r="H9" s="1"/>
    </row>
    <row r="10" spans="1:8" ht="12" customHeight="1" x14ac:dyDescent="0.35">
      <c r="A10" s="1"/>
      <c r="B10" s="1"/>
      <c r="C10" s="1"/>
      <c r="D10" s="1"/>
      <c r="E10" s="1"/>
      <c r="F10" s="1"/>
      <c r="G10" s="1"/>
      <c r="H10" s="1"/>
    </row>
    <row r="11" spans="1:8" ht="27.75" customHeight="1" x14ac:dyDescent="0.35">
      <c r="A11" s="46" t="s">
        <v>9</v>
      </c>
      <c r="B11" s="47"/>
      <c r="C11" s="46" t="s">
        <v>10</v>
      </c>
      <c r="D11" s="47"/>
      <c r="E11" s="61" t="s">
        <v>11</v>
      </c>
      <c r="F11" s="62"/>
      <c r="G11" s="1"/>
      <c r="H11" s="1"/>
    </row>
    <row r="12" spans="1:8" ht="49.5" customHeight="1" x14ac:dyDescent="0.35">
      <c r="A12" s="59">
        <f>Final_KPI_Values!B4</f>
        <v>0.04</v>
      </c>
      <c r="B12" s="51"/>
      <c r="C12" s="59">
        <f>Final_KPI_Values!B6</f>
        <v>0.88</v>
      </c>
      <c r="D12" s="51"/>
      <c r="E12" s="44">
        <f>Final_KPI_Values!B7</f>
        <v>0.34</v>
      </c>
      <c r="F12" s="45"/>
      <c r="G12" s="1"/>
      <c r="H12" s="1"/>
    </row>
    <row r="13" spans="1:8" ht="21.75" customHeight="1" x14ac:dyDescent="0.35">
      <c r="A13" s="57" t="s">
        <v>12</v>
      </c>
      <c r="B13" s="58"/>
      <c r="C13" s="57" t="s">
        <v>7</v>
      </c>
      <c r="D13" s="58"/>
      <c r="E13" s="55" t="s">
        <v>13</v>
      </c>
      <c r="F13" s="56"/>
      <c r="G13" s="1"/>
      <c r="H13" s="1"/>
    </row>
    <row r="14" spans="1:8" ht="15" customHeight="1" x14ac:dyDescent="0.35">
      <c r="A14" s="1"/>
      <c r="B14" s="1"/>
      <c r="C14" s="1"/>
      <c r="D14" s="1"/>
      <c r="E14" s="1"/>
      <c r="F14" s="1"/>
      <c r="G14" s="1"/>
      <c r="H14" s="1"/>
    </row>
    <row r="15" spans="1:8" ht="27.75" customHeight="1" x14ac:dyDescent="0.35">
      <c r="A15" s="53" t="s">
        <v>14</v>
      </c>
      <c r="B15" s="51"/>
      <c r="C15" s="51"/>
      <c r="D15" s="51"/>
      <c r="E15" s="53" t="s">
        <v>15</v>
      </c>
      <c r="F15" s="51"/>
      <c r="G15" s="51"/>
      <c r="H15" s="51"/>
    </row>
    <row r="16" spans="1:8" ht="21.75" customHeight="1" x14ac:dyDescent="0.35">
      <c r="A16" s="2"/>
      <c r="B16" s="2"/>
      <c r="C16" s="2"/>
      <c r="D16" s="2"/>
      <c r="E16" s="3" t="s">
        <v>16</v>
      </c>
      <c r="F16" s="4" t="s">
        <v>17</v>
      </c>
      <c r="G16" s="1"/>
      <c r="H16" s="1"/>
    </row>
    <row r="17" spans="1:8" ht="21.75" customHeight="1" x14ac:dyDescent="0.35">
      <c r="A17" s="2"/>
      <c r="B17" s="2"/>
      <c r="C17" s="2"/>
      <c r="D17" s="2"/>
      <c r="E17" s="5" t="str">
        <f>Defect_Pareto_Analysis!A2</f>
        <v>Incorrect Facts</v>
      </c>
      <c r="F17" s="6">
        <f>Defect_Pareto_Analysis!B2</f>
        <v>14</v>
      </c>
      <c r="G17" s="1"/>
      <c r="H17" s="1"/>
    </row>
    <row r="18" spans="1:8" ht="21.75" customHeight="1" x14ac:dyDescent="0.35">
      <c r="A18" s="2"/>
      <c r="B18" s="2"/>
      <c r="C18" s="2"/>
      <c r="D18" s="2"/>
      <c r="E18" s="7" t="str">
        <f>Defect_Pareto_Analysis!A3</f>
        <v>Safety Violation</v>
      </c>
      <c r="F18" s="8">
        <f>Defect_Pareto_Analysis!B3</f>
        <v>7</v>
      </c>
      <c r="G18" s="1"/>
      <c r="H18" s="1"/>
    </row>
    <row r="19" spans="1:8" ht="21.75" customHeight="1" x14ac:dyDescent="0.35">
      <c r="A19" s="2"/>
      <c r="B19" s="2"/>
      <c r="C19" s="2"/>
      <c r="D19" s="2"/>
      <c r="E19" s="5" t="str">
        <f>Defect_Pareto_Analysis!A4</f>
        <v>Hallucination</v>
      </c>
      <c r="F19" s="6">
        <f>Defect_Pareto_Analysis!B4</f>
        <v>4</v>
      </c>
      <c r="G19" s="1"/>
      <c r="H19" s="1"/>
    </row>
    <row r="20" spans="1:8" ht="21.75" customHeight="1" x14ac:dyDescent="0.35">
      <c r="A20" s="2"/>
      <c r="B20" s="2"/>
      <c r="C20" s="2"/>
      <c r="D20" s="2"/>
      <c r="E20" s="7" t="str">
        <f>Defect_Pareto_Analysis!A5</f>
        <v>Bias</v>
      </c>
      <c r="F20" s="8">
        <f>Defect_Pareto_Analysis!B5</f>
        <v>4</v>
      </c>
      <c r="G20" s="1"/>
      <c r="H20" s="1"/>
    </row>
    <row r="21" spans="1:8" ht="21.75" customHeight="1" x14ac:dyDescent="0.35">
      <c r="A21" s="2"/>
      <c r="B21" s="2"/>
      <c r="C21" s="2"/>
      <c r="D21" s="2"/>
      <c r="E21" s="5" t="str">
        <f>Defect_Pareto_Analysis!A6</f>
        <v>Policy Violation</v>
      </c>
      <c r="F21" s="6">
        <f>Defect_Pareto_Analysis!B6</f>
        <v>2</v>
      </c>
      <c r="G21" s="1"/>
      <c r="H21" s="1"/>
    </row>
    <row r="22" spans="1:8" ht="21.75" customHeight="1" x14ac:dyDescent="0.35">
      <c r="A22" s="2"/>
      <c r="B22" s="2"/>
      <c r="C22" s="2"/>
      <c r="D22" s="2"/>
      <c r="E22" s="7" t="str">
        <f>Defect_Pareto_Analysis!A7</f>
        <v>Tone Issue</v>
      </c>
      <c r="F22" s="8">
        <f>Defect_Pareto_Analysis!B7</f>
        <v>1</v>
      </c>
      <c r="G22" s="1"/>
      <c r="H22" s="1"/>
    </row>
    <row r="23" spans="1:8" ht="21.75" customHeight="1" x14ac:dyDescent="0.35">
      <c r="A23" s="2"/>
      <c r="B23" s="2"/>
      <c r="C23" s="2"/>
      <c r="D23" s="2"/>
      <c r="E23" s="5" t="str">
        <f>Defect_Pareto_Analysis!A8</f>
        <v>Incomplete Answer</v>
      </c>
      <c r="F23" s="6">
        <f>Defect_Pareto_Analysis!B8</f>
        <v>1</v>
      </c>
      <c r="G23" s="1"/>
      <c r="H23" s="1"/>
    </row>
    <row r="24" spans="1:8" ht="21.75" customHeight="1" x14ac:dyDescent="0.35">
      <c r="A24" s="2"/>
      <c r="B24" s="2"/>
      <c r="C24" s="2"/>
      <c r="D24" s="2"/>
      <c r="E24" s="9" t="str">
        <f>Defect_Pareto_Analysis!A9</f>
        <v>Instruction Following Failure</v>
      </c>
      <c r="F24" s="10">
        <f>Defect_Pareto_Analysis!B9</f>
        <v>1</v>
      </c>
      <c r="G24" s="1"/>
      <c r="H24" s="1"/>
    </row>
    <row r="25" spans="1:8" ht="4.5" customHeight="1" x14ac:dyDescent="0.35">
      <c r="A25" s="1"/>
      <c r="B25" s="1"/>
      <c r="C25" s="1"/>
      <c r="D25" s="1"/>
      <c r="E25" s="1"/>
      <c r="F25" s="1"/>
      <c r="G25" s="1"/>
      <c r="H25" s="1"/>
    </row>
    <row r="26" spans="1:8" ht="4.5" customHeight="1" x14ac:dyDescent="0.35">
      <c r="A26" s="1"/>
      <c r="B26" s="1"/>
      <c r="C26" s="1"/>
      <c r="D26" s="1"/>
      <c r="E26" s="1"/>
      <c r="F26" s="1"/>
      <c r="G26" s="1"/>
      <c r="H26" s="1"/>
    </row>
    <row r="27" spans="1:8" ht="15" customHeight="1" x14ac:dyDescent="0.35">
      <c r="A27" s="1"/>
      <c r="B27" s="1"/>
      <c r="C27" s="1"/>
      <c r="D27" s="1"/>
      <c r="E27" s="1"/>
      <c r="F27" s="1"/>
      <c r="G27" s="1"/>
      <c r="H27" s="1"/>
    </row>
    <row r="28" spans="1:8" ht="27.75" customHeight="1" x14ac:dyDescent="0.35">
      <c r="A28" s="53" t="s">
        <v>18</v>
      </c>
      <c r="B28" s="51"/>
      <c r="C28" s="51"/>
      <c r="D28" s="51"/>
      <c r="E28" s="53" t="s">
        <v>19</v>
      </c>
      <c r="F28" s="51"/>
      <c r="G28" s="51"/>
      <c r="H28" s="51"/>
    </row>
    <row r="29" spans="1:8" ht="24" customHeight="1" x14ac:dyDescent="0.35">
      <c r="A29" s="3" t="s">
        <v>20</v>
      </c>
      <c r="B29" s="11" t="s">
        <v>21</v>
      </c>
      <c r="C29" s="11" t="s">
        <v>22</v>
      </c>
      <c r="D29" s="12" t="s">
        <v>23</v>
      </c>
      <c r="E29" s="63" t="s">
        <v>24</v>
      </c>
      <c r="F29" s="64"/>
      <c r="G29" s="64"/>
      <c r="H29" s="65"/>
    </row>
    <row r="30" spans="1:8" ht="31.5" customHeight="1" x14ac:dyDescent="0.35">
      <c r="A30" s="13" t="str">
        <f>Continuous_Improvement!A2</f>
        <v>Define</v>
      </c>
      <c r="B30" s="14" t="str">
        <f>Continuous_Improvement!B2</f>
        <v>KPI Thresholds</v>
      </c>
      <c r="C30" s="14" t="str">
        <f>"Establish CTQ benchmarks; target 85% accuracy (now 66%)"</f>
        <v>Establish CTQ benchmarks; target 85% accuracy (now 66%)</v>
      </c>
      <c r="D30" s="15" t="str">
        <f>Continuous_Improvement!D2</f>
        <v>Process Capability Analysis</v>
      </c>
      <c r="E30" s="50" t="s">
        <v>25</v>
      </c>
      <c r="F30" s="51"/>
      <c r="G30" s="51"/>
      <c r="H30" s="52"/>
    </row>
    <row r="31" spans="1:8" ht="31.5" customHeight="1" x14ac:dyDescent="0.35">
      <c r="A31" s="16" t="str">
        <f>Continuous_Improvement!A3</f>
        <v>Measure</v>
      </c>
      <c r="B31" s="17" t="str">
        <f>Continuous_Improvement!B3</f>
        <v>Calibration Agreement Trend</v>
      </c>
      <c r="C31" s="17" t="str">
        <f>"Monitor 88% calibration rate with reliability tests"</f>
        <v>Monitor 88% calibration rate with reliability tests</v>
      </c>
      <c r="D31" s="18" t="str">
        <f>Continuous_Improvement!D3</f>
        <v>Gage R&amp;R Study</v>
      </c>
      <c r="E31" s="50" t="s">
        <v>26</v>
      </c>
      <c r="F31" s="51"/>
      <c r="G31" s="51"/>
      <c r="H31" s="52"/>
    </row>
    <row r="32" spans="1:8" ht="31.5" customHeight="1" x14ac:dyDescent="0.35">
      <c r="A32" s="13" t="str">
        <f>Continuous_Improvement!A4</f>
        <v>Analyze</v>
      </c>
      <c r="B32" s="14" t="str">
        <f>Continuous_Improvement!B4</f>
        <v>Defect Root Causes</v>
      </c>
      <c r="C32" s="14" t="str">
        <f>"Investigate 14 Incorrect Facts &amp; 7 Safety Violations"</f>
        <v>Investigate 14 Incorrect Facts &amp; 7 Safety Violations</v>
      </c>
      <c r="D32" s="15" t="str">
        <f>Continuous_Improvement!D4</f>
        <v>Failure Mode and Effects Analysis (FMEA)</v>
      </c>
      <c r="E32" s="50" t="s">
        <v>27</v>
      </c>
      <c r="F32" s="51"/>
      <c r="G32" s="51"/>
      <c r="H32" s="52"/>
    </row>
    <row r="33" spans="1:8" ht="31.5" customHeight="1" x14ac:dyDescent="0.35">
      <c r="A33" s="16" t="str">
        <f>Continuous_Improvement!A5</f>
        <v>Improve</v>
      </c>
      <c r="B33" s="17" t="str">
        <f>Continuous_Improvement!B5</f>
        <v>Workflow Automation</v>
      </c>
      <c r="C33" s="17" t="str">
        <f>"Build automated webhook for accuracy drop alerts"</f>
        <v>Build automated webhook for accuracy drop alerts</v>
      </c>
      <c r="D33" s="18" t="str">
        <f>Continuous_Improvement!D5</f>
        <v>Low-code platforms</v>
      </c>
      <c r="E33" s="50" t="s">
        <v>28</v>
      </c>
      <c r="F33" s="51"/>
      <c r="G33" s="51"/>
      <c r="H33" s="52"/>
    </row>
    <row r="34" spans="1:8" ht="31.5" customHeight="1" x14ac:dyDescent="0.35">
      <c r="A34" s="19" t="str">
        <f>Continuous_Improvement!A6</f>
        <v>Control</v>
      </c>
      <c r="B34" s="20" t="str">
        <f>Continuous_Improvement!B6</f>
        <v>Executive Monitoring</v>
      </c>
      <c r="C34" s="20" t="str">
        <f>"Finalize AI Quality Dashboard for monitoring"</f>
        <v>Finalize AI Quality Dashboard for monitoring</v>
      </c>
      <c r="D34" s="21" t="str">
        <f>Continuous_Improvement!D6</f>
        <v>Statistical Process Control (SPC) Charts</v>
      </c>
      <c r="E34" s="50"/>
      <c r="F34" s="51"/>
      <c r="G34" s="51"/>
      <c r="H34" s="52"/>
    </row>
    <row r="35" spans="1:8" ht="15" customHeight="1" x14ac:dyDescent="0.35">
      <c r="A35" s="22"/>
      <c r="B35" s="22"/>
      <c r="C35" s="22"/>
      <c r="D35" s="22"/>
      <c r="E35" s="22"/>
      <c r="F35" s="22"/>
      <c r="G35" s="22"/>
      <c r="H35" s="22"/>
    </row>
    <row r="36" spans="1:8" ht="27.75" customHeight="1" x14ac:dyDescent="0.35">
      <c r="A36" s="48" t="s">
        <v>29</v>
      </c>
      <c r="B36" s="49"/>
      <c r="C36" s="49"/>
      <c r="D36" s="49"/>
      <c r="E36" s="49"/>
      <c r="F36" s="49"/>
      <c r="G36" s="49"/>
      <c r="H36" s="49"/>
    </row>
    <row r="37" spans="1:8" ht="14.25" customHeight="1" x14ac:dyDescent="0.35">
      <c r="A37" s="1"/>
      <c r="B37" s="1"/>
      <c r="C37" s="1"/>
      <c r="D37" s="1"/>
      <c r="E37" s="1"/>
      <c r="F37" s="1"/>
      <c r="G37" s="1"/>
      <c r="H37" s="1"/>
    </row>
    <row r="38" spans="1:8" ht="14.25" customHeight="1" x14ac:dyDescent="0.35">
      <c r="A38" s="1"/>
      <c r="B38" s="1"/>
      <c r="C38" s="1"/>
      <c r="D38" s="1"/>
      <c r="E38" s="1"/>
      <c r="F38" s="1"/>
      <c r="G38" s="1"/>
      <c r="H38" s="1"/>
    </row>
    <row r="39" spans="1:8" ht="14.25" customHeight="1" x14ac:dyDescent="0.35">
      <c r="A39" s="1"/>
      <c r="B39" s="1"/>
      <c r="C39" s="1"/>
      <c r="D39" s="1"/>
      <c r="E39" s="1"/>
      <c r="F39" s="1"/>
      <c r="G39" s="1"/>
      <c r="H39" s="1"/>
    </row>
    <row r="40" spans="1:8" ht="14.25" customHeight="1" x14ac:dyDescent="0.35">
      <c r="A40" s="1"/>
      <c r="B40" s="1"/>
      <c r="C40" s="1"/>
      <c r="D40" s="1"/>
      <c r="E40" s="1"/>
      <c r="F40" s="1"/>
      <c r="G40" s="1"/>
      <c r="H40" s="1"/>
    </row>
    <row r="41" spans="1:8" ht="14.25" customHeight="1" x14ac:dyDescent="0.35">
      <c r="A41" s="1"/>
      <c r="B41" s="1"/>
      <c r="C41" s="1"/>
      <c r="D41" s="1"/>
      <c r="E41" s="1"/>
      <c r="F41" s="1"/>
      <c r="G41" s="1"/>
      <c r="H41" s="1"/>
    </row>
    <row r="42" spans="1:8" ht="14.25" customHeight="1" x14ac:dyDescent="0.35">
      <c r="A42" s="1"/>
      <c r="B42" s="1"/>
      <c r="C42" s="1"/>
      <c r="D42" s="1"/>
      <c r="E42" s="1"/>
      <c r="F42" s="1"/>
      <c r="G42" s="1"/>
      <c r="H42" s="1"/>
    </row>
    <row r="43" spans="1:8" ht="14.25" customHeight="1" x14ac:dyDescent="0.35">
      <c r="A43" s="1"/>
      <c r="B43" s="1"/>
      <c r="C43" s="1"/>
      <c r="D43" s="1"/>
      <c r="E43" s="1"/>
      <c r="F43" s="1"/>
      <c r="G43" s="1"/>
      <c r="H43" s="1"/>
    </row>
    <row r="44" spans="1:8" ht="14.25" customHeight="1" x14ac:dyDescent="0.35">
      <c r="A44" s="1"/>
      <c r="B44" s="1"/>
      <c r="C44" s="1"/>
      <c r="D44" s="1"/>
      <c r="E44" s="1"/>
      <c r="F44" s="1"/>
      <c r="G44" s="1"/>
      <c r="H44" s="1"/>
    </row>
    <row r="45" spans="1:8" ht="14.25" customHeight="1" x14ac:dyDescent="0.35">
      <c r="A45" s="1"/>
      <c r="B45" s="1"/>
      <c r="C45" s="1"/>
      <c r="D45" s="1"/>
      <c r="E45" s="1"/>
      <c r="F45" s="1"/>
      <c r="G45" s="1"/>
      <c r="H45" s="1"/>
    </row>
    <row r="46" spans="1:8" ht="14.25" customHeight="1" x14ac:dyDescent="0.35">
      <c r="A46" s="1"/>
      <c r="B46" s="1"/>
      <c r="C46" s="1"/>
      <c r="D46" s="1"/>
      <c r="E46" s="1"/>
      <c r="F46" s="1"/>
      <c r="G46" s="1"/>
      <c r="H46" s="1"/>
    </row>
    <row r="47" spans="1:8" ht="14.25" customHeight="1" x14ac:dyDescent="0.35">
      <c r="A47" s="1"/>
      <c r="B47" s="1"/>
      <c r="C47" s="1"/>
      <c r="D47" s="1"/>
      <c r="E47" s="1"/>
      <c r="F47" s="1"/>
      <c r="G47" s="1"/>
      <c r="H47" s="1"/>
    </row>
    <row r="48" spans="1:8" ht="14.25" customHeight="1" x14ac:dyDescent="0.35">
      <c r="A48" s="1"/>
      <c r="B48" s="1"/>
      <c r="C48" s="1"/>
      <c r="D48" s="1"/>
      <c r="E48" s="1"/>
      <c r="F48" s="1"/>
      <c r="G48" s="1"/>
      <c r="H48" s="1"/>
    </row>
    <row r="49" spans="1:8" ht="14.25" customHeight="1" x14ac:dyDescent="0.35">
      <c r="A49" s="1"/>
      <c r="B49" s="1"/>
      <c r="C49" s="1"/>
      <c r="D49" s="1"/>
      <c r="E49" s="1"/>
      <c r="F49" s="1"/>
      <c r="G49" s="1"/>
      <c r="H49" s="1"/>
    </row>
    <row r="50" spans="1:8" ht="14.25" customHeight="1" x14ac:dyDescent="0.35">
      <c r="A50" s="1"/>
      <c r="B50" s="1"/>
      <c r="C50" s="1"/>
      <c r="D50" s="1"/>
      <c r="E50" s="1"/>
      <c r="F50" s="1"/>
      <c r="G50" s="1"/>
      <c r="H50" s="1"/>
    </row>
  </sheetData>
  <mergeCells count="32">
    <mergeCell ref="A1:H2"/>
    <mergeCell ref="A8:B8"/>
    <mergeCell ref="E28:H28"/>
    <mergeCell ref="C8:D8"/>
    <mergeCell ref="C7:D7"/>
    <mergeCell ref="E7:F7"/>
    <mergeCell ref="A13:B13"/>
    <mergeCell ref="E15:H15"/>
    <mergeCell ref="C13:D13"/>
    <mergeCell ref="A9:B9"/>
    <mergeCell ref="A3:H3"/>
    <mergeCell ref="C11:D11"/>
    <mergeCell ref="E11:F11"/>
    <mergeCell ref="E29:H29"/>
    <mergeCell ref="A5:H5"/>
    <mergeCell ref="E8:F8"/>
    <mergeCell ref="A7:B7"/>
    <mergeCell ref="A15:D15"/>
    <mergeCell ref="E13:F13"/>
    <mergeCell ref="C9:D9"/>
    <mergeCell ref="E9:F9"/>
    <mergeCell ref="A12:B12"/>
    <mergeCell ref="C12:D12"/>
    <mergeCell ref="E12:F12"/>
    <mergeCell ref="A11:B11"/>
    <mergeCell ref="A36:H36"/>
    <mergeCell ref="E32:H32"/>
    <mergeCell ref="A28:D28"/>
    <mergeCell ref="E33:H33"/>
    <mergeCell ref="E31:H31"/>
    <mergeCell ref="E34:H34"/>
    <mergeCell ref="E30:H30"/>
  </mergeCells>
  <printOptions horizontalCentered="1"/>
  <pageMargins left="6.9444444444444501E-3" right="6.9444444444444501E-3" top="5.5555555555555601E-3" bottom="5.5555555555555601E-3" header="0.511811023622047" footer="0.511811023622047"/>
  <pageSetup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showRowColHeaders="0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30" customWidth="1"/>
    <col min="2" max="2" width="88" customWidth="1"/>
  </cols>
  <sheetData>
    <row r="1" spans="1:2" ht="14.25" customHeight="1" x14ac:dyDescent="0.35">
      <c r="A1" s="23" t="s">
        <v>30</v>
      </c>
      <c r="B1" s="23" t="s">
        <v>31</v>
      </c>
    </row>
    <row r="2" spans="1:2" ht="14.25" customHeight="1" x14ac:dyDescent="0.35">
      <c r="A2" s="24" t="s">
        <v>32</v>
      </c>
      <c r="B2" s="24" t="s">
        <v>33</v>
      </c>
    </row>
    <row r="3" spans="1:2" ht="14.25" customHeight="1" x14ac:dyDescent="0.35">
      <c r="A3" s="25" t="s">
        <v>34</v>
      </c>
      <c r="B3" s="25" t="s">
        <v>35</v>
      </c>
    </row>
    <row r="4" spans="1:2" ht="14.25" customHeight="1" x14ac:dyDescent="0.35">
      <c r="A4" s="24" t="s">
        <v>36</v>
      </c>
      <c r="B4" s="24" t="s">
        <v>37</v>
      </c>
    </row>
    <row r="5" spans="1:2" ht="14.25" customHeight="1" x14ac:dyDescent="0.35">
      <c r="A5" s="25" t="s">
        <v>38</v>
      </c>
      <c r="B5" s="25" t="s">
        <v>39</v>
      </c>
    </row>
    <row r="6" spans="1:2" ht="14.25" customHeight="1" x14ac:dyDescent="0.35">
      <c r="A6" s="24" t="s">
        <v>40</v>
      </c>
      <c r="B6" s="24" t="s">
        <v>41</v>
      </c>
    </row>
    <row r="7" spans="1:2" ht="14.25" customHeight="1" x14ac:dyDescent="0.35">
      <c r="A7" s="25" t="s">
        <v>42</v>
      </c>
      <c r="B7" s="25" t="s">
        <v>43</v>
      </c>
    </row>
    <row r="8" spans="1:2" ht="14.25" customHeight="1" x14ac:dyDescent="0.35">
      <c r="A8" s="24" t="s">
        <v>44</v>
      </c>
      <c r="B8" s="24" t="s">
        <v>45</v>
      </c>
    </row>
    <row r="9" spans="1:2" ht="14.25" customHeight="1" x14ac:dyDescent="0.35">
      <c r="A9" s="25" t="s">
        <v>46</v>
      </c>
      <c r="B9" s="25" t="s">
        <v>47</v>
      </c>
    </row>
    <row r="11" spans="1:2" ht="21.75" customHeight="1" x14ac:dyDescent="0.35">
      <c r="A11" s="70" t="s">
        <v>48</v>
      </c>
      <c r="B11" s="51"/>
    </row>
    <row r="12" spans="1:2" ht="66" customHeight="1" x14ac:dyDescent="0.35">
      <c r="A12" s="26" t="s">
        <v>49</v>
      </c>
      <c r="B12" s="27" t="s">
        <v>50</v>
      </c>
    </row>
    <row r="13" spans="1:2" ht="66" customHeight="1" x14ac:dyDescent="0.35">
      <c r="A13" s="26" t="s">
        <v>51</v>
      </c>
      <c r="B13" s="27" t="s">
        <v>52</v>
      </c>
    </row>
    <row r="14" spans="1:2" ht="49.5" customHeight="1" x14ac:dyDescent="0.35">
      <c r="A14" s="26" t="s">
        <v>53</v>
      </c>
      <c r="B14" s="27" t="s">
        <v>54</v>
      </c>
    </row>
    <row r="15" spans="1:2" ht="66" customHeight="1" x14ac:dyDescent="0.35">
      <c r="A15" s="26" t="s">
        <v>55</v>
      </c>
      <c r="B15" s="27" t="s">
        <v>56</v>
      </c>
    </row>
    <row r="16" spans="1:2" ht="49.5" customHeight="1" x14ac:dyDescent="0.35">
      <c r="A16" s="26" t="s">
        <v>57</v>
      </c>
      <c r="B16" s="27" t="s">
        <v>58</v>
      </c>
    </row>
    <row r="17" spans="1:2" ht="19.5" customHeight="1" x14ac:dyDescent="0.35">
      <c r="A17" s="26" t="s">
        <v>59</v>
      </c>
      <c r="B17" s="27" t="s">
        <v>60</v>
      </c>
    </row>
    <row r="18" spans="1:2" ht="19.5" customHeight="1" x14ac:dyDescent="0.35">
      <c r="A18" s="26" t="s">
        <v>61</v>
      </c>
      <c r="B18" s="27" t="s">
        <v>62</v>
      </c>
    </row>
  </sheetData>
  <mergeCells count="1"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showRowColHeaders="0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31" customWidth="1"/>
    <col min="2" max="2" width="7" customWidth="1"/>
    <col min="3" max="3" width="17" customWidth="1"/>
  </cols>
  <sheetData>
    <row r="1" spans="1:3" ht="14.25" customHeight="1" x14ac:dyDescent="0.35">
      <c r="A1" s="23" t="s">
        <v>63</v>
      </c>
      <c r="B1" s="23" t="s">
        <v>31</v>
      </c>
      <c r="C1" s="23" t="s">
        <v>64</v>
      </c>
    </row>
    <row r="2" spans="1:3" ht="14.25" customHeight="1" x14ac:dyDescent="0.35">
      <c r="A2" s="24" t="s">
        <v>65</v>
      </c>
      <c r="B2" s="24" t="s">
        <v>66</v>
      </c>
      <c r="C2" s="24" t="s">
        <v>67</v>
      </c>
    </row>
    <row r="3" spans="1:3" ht="14.25" customHeight="1" x14ac:dyDescent="0.35">
      <c r="A3" s="25" t="s">
        <v>68</v>
      </c>
      <c r="B3" s="25" t="s">
        <v>69</v>
      </c>
      <c r="C3" s="25" t="s">
        <v>70</v>
      </c>
    </row>
    <row r="4" spans="1:3" ht="14.25" customHeight="1" x14ac:dyDescent="0.35">
      <c r="A4" s="24" t="s">
        <v>71</v>
      </c>
      <c r="B4" s="24" t="s">
        <v>72</v>
      </c>
      <c r="C4" s="24" t="s">
        <v>73</v>
      </c>
    </row>
    <row r="5" spans="1:3" ht="14.25" customHeight="1" x14ac:dyDescent="0.35">
      <c r="A5" s="25" t="s">
        <v>74</v>
      </c>
      <c r="B5" s="25" t="s">
        <v>75</v>
      </c>
      <c r="C5" s="25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showRowColHeaders="0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31" customWidth="1"/>
    <col min="2" max="3" width="18" customWidth="1"/>
    <col min="4" max="4" width="17" customWidth="1"/>
    <col min="5" max="5" width="12" customWidth="1"/>
  </cols>
  <sheetData>
    <row r="1" spans="1:5" ht="14.25" customHeight="1" x14ac:dyDescent="0.35">
      <c r="A1" s="23" t="s">
        <v>63</v>
      </c>
      <c r="B1" s="23" t="s">
        <v>76</v>
      </c>
      <c r="C1" s="23" t="s">
        <v>77</v>
      </c>
      <c r="D1" s="23" t="s">
        <v>64</v>
      </c>
      <c r="E1" s="23" t="s">
        <v>78</v>
      </c>
    </row>
    <row r="2" spans="1:5" ht="14.25" customHeight="1" x14ac:dyDescent="0.35">
      <c r="A2" s="24" t="s">
        <v>65</v>
      </c>
      <c r="B2" s="24">
        <v>4.49</v>
      </c>
      <c r="C2" s="24" t="s">
        <v>79</v>
      </c>
      <c r="D2" s="24" t="s">
        <v>67</v>
      </c>
      <c r="E2" s="24" t="s">
        <v>80</v>
      </c>
    </row>
    <row r="3" spans="1:5" ht="14.25" customHeight="1" x14ac:dyDescent="0.35">
      <c r="A3" s="25" t="s">
        <v>81</v>
      </c>
      <c r="B3" s="28">
        <v>0.66</v>
      </c>
      <c r="C3" s="25" t="s">
        <v>82</v>
      </c>
      <c r="D3" s="25" t="s">
        <v>70</v>
      </c>
      <c r="E3" s="25" t="s">
        <v>83</v>
      </c>
    </row>
    <row r="4" spans="1:5" ht="14.25" customHeight="1" x14ac:dyDescent="0.35">
      <c r="A4" s="24" t="s">
        <v>68</v>
      </c>
      <c r="B4" s="29">
        <v>0.04</v>
      </c>
      <c r="C4" s="24" t="s">
        <v>84</v>
      </c>
      <c r="D4" s="24" t="s">
        <v>67</v>
      </c>
      <c r="E4" s="24" t="s">
        <v>83</v>
      </c>
    </row>
    <row r="5" spans="1:5" ht="14.25" customHeight="1" x14ac:dyDescent="0.35">
      <c r="A5" s="25" t="s">
        <v>85</v>
      </c>
      <c r="B5" s="28">
        <v>0.93</v>
      </c>
      <c r="C5" s="25" t="s">
        <v>86</v>
      </c>
      <c r="D5" s="25" t="s">
        <v>73</v>
      </c>
      <c r="E5" s="25" t="s">
        <v>87</v>
      </c>
    </row>
    <row r="6" spans="1:5" ht="14.25" customHeight="1" x14ac:dyDescent="0.35">
      <c r="A6" s="24" t="s">
        <v>88</v>
      </c>
      <c r="B6" s="29">
        <v>0.88</v>
      </c>
      <c r="C6" s="24" t="s">
        <v>82</v>
      </c>
      <c r="D6" s="24" t="s">
        <v>67</v>
      </c>
      <c r="E6" s="24" t="s">
        <v>80</v>
      </c>
    </row>
    <row r="7" spans="1:5" ht="14.25" customHeight="1" x14ac:dyDescent="0.35">
      <c r="A7" s="25" t="s">
        <v>89</v>
      </c>
      <c r="B7" s="28">
        <v>0.34</v>
      </c>
      <c r="C7" s="25" t="s">
        <v>90</v>
      </c>
      <c r="D7" s="25" t="s">
        <v>67</v>
      </c>
      <c r="E7" s="25" t="s">
        <v>83</v>
      </c>
    </row>
    <row r="8" spans="1:5" ht="14.25" customHeight="1" x14ac:dyDescent="0.35">
      <c r="A8" s="24" t="s">
        <v>91</v>
      </c>
      <c r="B8" s="29">
        <v>0.04</v>
      </c>
      <c r="C8" s="24" t="s">
        <v>92</v>
      </c>
      <c r="D8" s="24" t="s">
        <v>67</v>
      </c>
      <c r="E8" s="24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showRowColHeaders="0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28" customWidth="1"/>
    <col min="2" max="2" width="15" customWidth="1"/>
    <col min="3" max="3" width="20" customWidth="1"/>
    <col min="4" max="4" width="14" customWidth="1"/>
  </cols>
  <sheetData>
    <row r="1" spans="1:4" ht="14.25" customHeight="1" x14ac:dyDescent="0.35">
      <c r="A1" s="23" t="s">
        <v>16</v>
      </c>
      <c r="B1" s="23" t="s">
        <v>93</v>
      </c>
      <c r="C1" s="23" t="s">
        <v>94</v>
      </c>
      <c r="D1" s="23" t="s">
        <v>95</v>
      </c>
    </row>
    <row r="2" spans="1:4" ht="14.25" customHeight="1" x14ac:dyDescent="0.35">
      <c r="A2" s="24" t="s">
        <v>96</v>
      </c>
      <c r="B2" s="24">
        <v>14</v>
      </c>
      <c r="C2" s="29">
        <v>0.41170000000000001</v>
      </c>
      <c r="D2" s="29">
        <v>0.41170000000000001</v>
      </c>
    </row>
    <row r="3" spans="1:4" ht="14.25" customHeight="1" x14ac:dyDescent="0.35">
      <c r="A3" s="25" t="s">
        <v>97</v>
      </c>
      <c r="B3" s="25">
        <v>7</v>
      </c>
      <c r="C3" s="28">
        <v>0.20580000000000001</v>
      </c>
      <c r="D3" s="28">
        <v>0.61760000000000004</v>
      </c>
    </row>
    <row r="4" spans="1:4" ht="14.25" customHeight="1" x14ac:dyDescent="0.35">
      <c r="A4" s="24" t="s">
        <v>98</v>
      </c>
      <c r="B4" s="24">
        <v>4</v>
      </c>
      <c r="C4" s="29">
        <v>0.1176</v>
      </c>
      <c r="D4" s="29">
        <v>0.73519999999999996</v>
      </c>
    </row>
    <row r="5" spans="1:4" ht="14.25" customHeight="1" x14ac:dyDescent="0.35">
      <c r="A5" s="25" t="s">
        <v>99</v>
      </c>
      <c r="B5" s="25">
        <v>4</v>
      </c>
      <c r="C5" s="28">
        <v>0.1176</v>
      </c>
      <c r="D5" s="28">
        <v>0.85289999999999999</v>
      </c>
    </row>
    <row r="6" spans="1:4" ht="14.25" customHeight="1" x14ac:dyDescent="0.35">
      <c r="A6" s="24" t="s">
        <v>100</v>
      </c>
      <c r="B6" s="24">
        <v>2</v>
      </c>
      <c r="C6" s="29">
        <v>5.8799999999999998E-2</v>
      </c>
      <c r="D6" s="29">
        <v>0.91169999999999995</v>
      </c>
    </row>
    <row r="7" spans="1:4" ht="14.25" customHeight="1" x14ac:dyDescent="0.35">
      <c r="A7" s="25" t="s">
        <v>101</v>
      </c>
      <c r="B7" s="25">
        <v>1</v>
      </c>
      <c r="C7" s="28">
        <v>2.9399999999999999E-2</v>
      </c>
      <c r="D7" s="28">
        <v>0.94110000000000005</v>
      </c>
    </row>
    <row r="8" spans="1:4" ht="14.25" customHeight="1" x14ac:dyDescent="0.35">
      <c r="A8" s="24" t="s">
        <v>102</v>
      </c>
      <c r="B8" s="24">
        <v>1</v>
      </c>
      <c r="C8" s="29">
        <v>2.9399999999999999E-2</v>
      </c>
      <c r="D8" s="29">
        <v>0.97050000000000003</v>
      </c>
    </row>
    <row r="9" spans="1:4" ht="14.25" customHeight="1" x14ac:dyDescent="0.35">
      <c r="A9" s="25" t="s">
        <v>103</v>
      </c>
      <c r="B9" s="25">
        <v>1</v>
      </c>
      <c r="C9" s="28">
        <v>2.9399999999999999E-2</v>
      </c>
      <c r="D9" s="28"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showRowColHeaders="0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9" customWidth="1"/>
    <col min="2" max="2" width="29" customWidth="1"/>
    <col min="3" max="3" width="60" customWidth="1"/>
    <col min="4" max="4" width="42" customWidth="1"/>
  </cols>
  <sheetData>
    <row r="1" spans="1:4" ht="14.25" customHeight="1" x14ac:dyDescent="0.35">
      <c r="A1" s="23" t="s">
        <v>20</v>
      </c>
      <c r="B1" s="23" t="s">
        <v>21</v>
      </c>
      <c r="C1" s="23" t="s">
        <v>104</v>
      </c>
      <c r="D1" s="23" t="s">
        <v>105</v>
      </c>
    </row>
    <row r="2" spans="1:4" ht="43.5" customHeight="1" x14ac:dyDescent="0.35">
      <c r="A2" s="24" t="s">
        <v>106</v>
      </c>
      <c r="B2" s="24" t="s">
        <v>107</v>
      </c>
      <c r="C2" s="24" t="s">
        <v>108</v>
      </c>
      <c r="D2" s="24" t="s">
        <v>109</v>
      </c>
    </row>
    <row r="3" spans="1:4" ht="43.5" customHeight="1" x14ac:dyDescent="0.35">
      <c r="A3" s="25" t="s">
        <v>110</v>
      </c>
      <c r="B3" s="25" t="s">
        <v>111</v>
      </c>
      <c r="C3" s="25" t="s">
        <v>112</v>
      </c>
      <c r="D3" s="25" t="s">
        <v>113</v>
      </c>
    </row>
    <row r="4" spans="1:4" ht="43.5" customHeight="1" x14ac:dyDescent="0.35">
      <c r="A4" s="24" t="s">
        <v>114</v>
      </c>
      <c r="B4" s="24" t="s">
        <v>115</v>
      </c>
      <c r="C4" s="24" t="s">
        <v>116</v>
      </c>
      <c r="D4" s="24" t="s">
        <v>117</v>
      </c>
    </row>
    <row r="5" spans="1:4" ht="43.5" customHeight="1" x14ac:dyDescent="0.35">
      <c r="A5" s="25" t="s">
        <v>118</v>
      </c>
      <c r="B5" s="25" t="s">
        <v>119</v>
      </c>
      <c r="C5" s="25" t="s">
        <v>120</v>
      </c>
      <c r="D5" s="25" t="s">
        <v>121</v>
      </c>
    </row>
    <row r="6" spans="1:4" ht="43.5" customHeight="1" x14ac:dyDescent="0.35">
      <c r="A6" s="24" t="s">
        <v>122</v>
      </c>
      <c r="B6" s="24" t="s">
        <v>123</v>
      </c>
      <c r="C6" s="24" t="s">
        <v>124</v>
      </c>
      <c r="D6" s="24" t="s">
        <v>125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8"/>
  <sheetViews>
    <sheetView showGridLines="0" showRowColHeader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28" customWidth="1"/>
    <col min="2" max="2" width="32" customWidth="1"/>
    <col min="3" max="3" width="40" customWidth="1"/>
    <col min="4" max="4" width="32" customWidth="1"/>
    <col min="5" max="6" width="30" customWidth="1"/>
    <col min="7" max="7" width="46" customWidth="1"/>
    <col min="8" max="8" width="44" customWidth="1"/>
    <col min="9" max="9" width="40" customWidth="1"/>
    <col min="10" max="10" width="10" customWidth="1"/>
    <col min="11" max="11" width="13" customWidth="1"/>
    <col min="12" max="12" width="38" customWidth="1"/>
  </cols>
  <sheetData>
    <row r="1" spans="1:12" ht="25.5" customHeight="1" x14ac:dyDescent="0.35">
      <c r="A1" s="75" t="s">
        <v>126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2" ht="39.75" customHeight="1" x14ac:dyDescent="0.35">
      <c r="A2" s="71" t="s">
        <v>127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4" spans="1:12" ht="42" customHeight="1" x14ac:dyDescent="0.35">
      <c r="A4" s="30" t="s">
        <v>128</v>
      </c>
      <c r="B4" s="30" t="s">
        <v>129</v>
      </c>
      <c r="C4" s="30" t="s">
        <v>130</v>
      </c>
      <c r="D4" s="30" t="s">
        <v>131</v>
      </c>
      <c r="E4" s="30" t="s">
        <v>132</v>
      </c>
      <c r="F4" s="30" t="s">
        <v>133</v>
      </c>
      <c r="G4" s="30" t="s">
        <v>134</v>
      </c>
      <c r="H4" s="30" t="s">
        <v>135</v>
      </c>
      <c r="I4" s="30" t="s">
        <v>136</v>
      </c>
      <c r="J4" s="30" t="s">
        <v>137</v>
      </c>
      <c r="K4" s="30" t="s">
        <v>138</v>
      </c>
      <c r="L4" s="30" t="s">
        <v>139</v>
      </c>
    </row>
    <row r="5" spans="1:12" ht="85.5" customHeight="1" x14ac:dyDescent="0.35">
      <c r="A5" s="31" t="s">
        <v>65</v>
      </c>
      <c r="B5" s="32" t="s">
        <v>140</v>
      </c>
      <c r="C5" s="32" t="s">
        <v>141</v>
      </c>
      <c r="D5" s="32" t="s">
        <v>142</v>
      </c>
      <c r="E5" s="32" t="s">
        <v>143</v>
      </c>
      <c r="F5" s="32" t="s">
        <v>144</v>
      </c>
      <c r="G5" s="33" t="s">
        <v>145</v>
      </c>
      <c r="H5" s="32" t="s">
        <v>146</v>
      </c>
      <c r="I5" s="32" t="e">
        <f>sum of overall scores / Total Responses</f>
        <v>#NAME?</v>
      </c>
      <c r="J5" s="34" t="s">
        <v>79</v>
      </c>
      <c r="K5" s="35">
        <v>4.49</v>
      </c>
      <c r="L5" s="32" t="s">
        <v>147</v>
      </c>
    </row>
    <row r="6" spans="1:12" ht="85.5" customHeight="1" x14ac:dyDescent="0.35">
      <c r="A6" s="36" t="s">
        <v>81</v>
      </c>
      <c r="B6" s="37" t="s">
        <v>148</v>
      </c>
      <c r="C6" s="37" t="s">
        <v>141</v>
      </c>
      <c r="D6" s="37" t="s">
        <v>142</v>
      </c>
      <c r="E6" s="37" t="s">
        <v>143</v>
      </c>
      <c r="F6" s="37" t="s">
        <v>149</v>
      </c>
      <c r="G6" s="38" t="s">
        <v>150</v>
      </c>
      <c r="H6" s="37" t="s">
        <v>151</v>
      </c>
      <c r="I6" s="37"/>
      <c r="J6" s="39" t="s">
        <v>82</v>
      </c>
      <c r="K6" s="40">
        <v>0.66</v>
      </c>
      <c r="L6" s="37" t="s">
        <v>152</v>
      </c>
    </row>
    <row r="7" spans="1:12" ht="85.5" customHeight="1" x14ac:dyDescent="0.35">
      <c r="A7" s="31" t="s">
        <v>68</v>
      </c>
      <c r="B7" s="32" t="s">
        <v>153</v>
      </c>
      <c r="C7" s="32" t="s">
        <v>141</v>
      </c>
      <c r="D7" s="32" t="s">
        <v>142</v>
      </c>
      <c r="E7" s="32" t="s">
        <v>143</v>
      </c>
      <c r="F7" s="32" t="s">
        <v>154</v>
      </c>
      <c r="G7" s="33" t="s">
        <v>155</v>
      </c>
      <c r="H7" s="32" t="s">
        <v>156</v>
      </c>
      <c r="I7" s="32" t="e">
        <f>hallucination Responses / Total Responses</f>
        <v>#NAME?</v>
      </c>
      <c r="J7" s="34" t="s">
        <v>84</v>
      </c>
      <c r="K7" s="41">
        <v>0.04</v>
      </c>
      <c r="L7" s="32" t="s">
        <v>157</v>
      </c>
    </row>
    <row r="8" spans="1:12" ht="85.5" customHeight="1" x14ac:dyDescent="0.35">
      <c r="A8" s="36" t="s">
        <v>85</v>
      </c>
      <c r="B8" s="37" t="s">
        <v>158</v>
      </c>
      <c r="C8" s="37" t="s">
        <v>141</v>
      </c>
      <c r="D8" s="37" t="s">
        <v>142</v>
      </c>
      <c r="E8" s="37" t="s">
        <v>143</v>
      </c>
      <c r="F8" s="37" t="s">
        <v>159</v>
      </c>
      <c r="G8" s="38" t="s">
        <v>160</v>
      </c>
      <c r="H8" s="37" t="s">
        <v>161</v>
      </c>
      <c r="I8" s="37"/>
      <c r="J8" s="39" t="s">
        <v>86</v>
      </c>
      <c r="K8" s="40">
        <v>0.93</v>
      </c>
      <c r="L8" s="37" t="s">
        <v>162</v>
      </c>
    </row>
    <row r="9" spans="1:12" ht="85.5" customHeight="1" x14ac:dyDescent="0.35">
      <c r="A9" s="31" t="s">
        <v>88</v>
      </c>
      <c r="B9" s="32" t="s">
        <v>163</v>
      </c>
      <c r="C9" s="32" t="s">
        <v>164</v>
      </c>
      <c r="D9" s="32" t="s">
        <v>142</v>
      </c>
      <c r="E9" s="32" t="s">
        <v>165</v>
      </c>
      <c r="F9" s="32" t="s">
        <v>166</v>
      </c>
      <c r="G9" s="33" t="s">
        <v>167</v>
      </c>
      <c r="H9" s="32" t="s">
        <v>168</v>
      </c>
      <c r="I9" s="32" t="e">
        <f>initial reviewer agreements / Total Calibration Cases</f>
        <v>#NAME?</v>
      </c>
      <c r="J9" s="34" t="s">
        <v>82</v>
      </c>
      <c r="K9" s="41">
        <v>0.88</v>
      </c>
      <c r="L9" s="32" t="s">
        <v>169</v>
      </c>
    </row>
    <row r="10" spans="1:12" ht="85.5" customHeight="1" x14ac:dyDescent="0.35">
      <c r="A10" s="36" t="s">
        <v>89</v>
      </c>
      <c r="B10" s="37" t="s">
        <v>170</v>
      </c>
      <c r="C10" s="37" t="s">
        <v>141</v>
      </c>
      <c r="D10" s="37" t="s">
        <v>142</v>
      </c>
      <c r="E10" s="37" t="s">
        <v>143</v>
      </c>
      <c r="F10" s="37" t="s">
        <v>154</v>
      </c>
      <c r="G10" s="38" t="s">
        <v>171</v>
      </c>
      <c r="H10" s="37" t="s">
        <v>172</v>
      </c>
      <c r="I10" s="37" t="e">
        <f>Responses with one or more errors / Total Responses</f>
        <v>#NAME?</v>
      </c>
      <c r="J10" s="39" t="s">
        <v>90</v>
      </c>
      <c r="K10" s="40">
        <v>0.34</v>
      </c>
      <c r="L10" s="37" t="s">
        <v>173</v>
      </c>
    </row>
    <row r="11" spans="1:12" ht="85.5" customHeight="1" x14ac:dyDescent="0.35">
      <c r="A11" s="31" t="s">
        <v>91</v>
      </c>
      <c r="B11" s="32" t="s">
        <v>174</v>
      </c>
      <c r="C11" s="32" t="s">
        <v>164</v>
      </c>
      <c r="D11" s="32" t="s">
        <v>142</v>
      </c>
      <c r="E11" s="32" t="s">
        <v>165</v>
      </c>
      <c r="F11" s="32" t="s">
        <v>175</v>
      </c>
      <c r="G11" s="33" t="s">
        <v>176</v>
      </c>
      <c r="H11" s="32" t="s">
        <v>177</v>
      </c>
      <c r="I11" s="32" t="e">
        <f>escalated Calibration Cases / Total Calibration Cases</f>
        <v>#NAME?</v>
      </c>
      <c r="J11" s="34" t="s">
        <v>92</v>
      </c>
      <c r="K11" s="41">
        <v>0.04</v>
      </c>
      <c r="L11" s="32" t="s">
        <v>178</v>
      </c>
    </row>
    <row r="13" spans="1:12" ht="21.75" customHeight="1" x14ac:dyDescent="0.35">
      <c r="A13" s="76" t="s">
        <v>179</v>
      </c>
      <c r="B13" s="51"/>
      <c r="C13" s="51"/>
      <c r="D13" s="51"/>
      <c r="E13" s="51"/>
      <c r="F13" s="51"/>
      <c r="G13" s="51"/>
      <c r="H13" s="51"/>
      <c r="I13" s="51"/>
      <c r="J13" s="51"/>
      <c r="K13" s="51"/>
      <c r="L13" s="51"/>
    </row>
    <row r="14" spans="1:12" ht="39.75" customHeight="1" x14ac:dyDescent="0.35">
      <c r="A14" s="42" t="s">
        <v>49</v>
      </c>
      <c r="B14" s="72" t="s">
        <v>180</v>
      </c>
      <c r="C14" s="73"/>
      <c r="D14" s="73"/>
      <c r="E14" s="73"/>
      <c r="F14" s="73"/>
      <c r="G14" s="73"/>
      <c r="H14" s="73"/>
      <c r="I14" s="73"/>
      <c r="J14" s="73"/>
      <c r="K14" s="73"/>
      <c r="L14" s="73"/>
    </row>
    <row r="15" spans="1:12" ht="39.75" customHeight="1" x14ac:dyDescent="0.35">
      <c r="A15" s="43" t="s">
        <v>181</v>
      </c>
      <c r="B15" s="74" t="s">
        <v>182</v>
      </c>
      <c r="C15" s="73"/>
      <c r="D15" s="73"/>
      <c r="E15" s="73"/>
      <c r="F15" s="73"/>
      <c r="G15" s="73"/>
      <c r="H15" s="73"/>
      <c r="I15" s="73"/>
      <c r="J15" s="73"/>
      <c r="K15" s="73"/>
      <c r="L15" s="73"/>
    </row>
    <row r="16" spans="1:12" ht="39.75" customHeight="1" x14ac:dyDescent="0.35">
      <c r="A16" s="42" t="s">
        <v>53</v>
      </c>
      <c r="B16" s="72" t="s">
        <v>183</v>
      </c>
      <c r="C16" s="73"/>
      <c r="D16" s="73"/>
      <c r="E16" s="73"/>
      <c r="F16" s="73"/>
      <c r="G16" s="73"/>
      <c r="H16" s="73"/>
      <c r="I16" s="73"/>
      <c r="J16" s="73"/>
      <c r="K16" s="73"/>
      <c r="L16" s="73"/>
    </row>
    <row r="17" spans="1:12" ht="39.75" customHeight="1" x14ac:dyDescent="0.35">
      <c r="A17" s="43" t="s">
        <v>184</v>
      </c>
      <c r="B17" s="74" t="s">
        <v>185</v>
      </c>
      <c r="C17" s="73"/>
      <c r="D17" s="73"/>
      <c r="E17" s="73"/>
      <c r="F17" s="73"/>
      <c r="G17" s="73"/>
      <c r="H17" s="73"/>
      <c r="I17" s="73"/>
      <c r="J17" s="73"/>
      <c r="K17" s="73"/>
      <c r="L17" s="73"/>
    </row>
    <row r="18" spans="1:12" ht="39.75" customHeight="1" x14ac:dyDescent="0.35">
      <c r="A18" s="42" t="s">
        <v>186</v>
      </c>
      <c r="B18" s="72" t="s">
        <v>187</v>
      </c>
      <c r="C18" s="73"/>
      <c r="D18" s="73"/>
      <c r="E18" s="73"/>
      <c r="F18" s="73"/>
      <c r="G18" s="73"/>
      <c r="H18" s="73"/>
      <c r="I18" s="73"/>
      <c r="J18" s="73"/>
      <c r="K18" s="73"/>
      <c r="L18" s="73"/>
    </row>
  </sheetData>
  <mergeCells count="8">
    <mergeCell ref="B17:L17"/>
    <mergeCell ref="B18:L18"/>
    <mergeCell ref="A2:L2"/>
    <mergeCell ref="B16:L16"/>
    <mergeCell ref="B15:L15"/>
    <mergeCell ref="A1:L1"/>
    <mergeCell ref="A13:L13"/>
    <mergeCell ref="B14:L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Dashboard_Metadata</vt:lpstr>
      <vt:lpstr>Executive_Summary</vt:lpstr>
      <vt:lpstr>Final_KPI_Values</vt:lpstr>
      <vt:lpstr>Defect_Pareto_Analysis</vt:lpstr>
      <vt:lpstr>Continuous_Improvement</vt:lpstr>
      <vt:lpstr>KPI_Calculations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Poulami Roy Chowdhury</cp:lastModifiedBy>
  <cp:revision>6</cp:revision>
  <dcterms:created xsi:type="dcterms:W3CDTF">2026-07-11T04:17:23Z</dcterms:created>
  <dcterms:modified xsi:type="dcterms:W3CDTF">2026-07-21T13:45:19Z</dcterms:modified>
  <dc:language>en-US</dc:language>
</cp:coreProperties>
</file>