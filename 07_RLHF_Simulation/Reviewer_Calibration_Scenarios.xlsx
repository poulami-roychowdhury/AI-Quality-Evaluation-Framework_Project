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I Project\AI_Quality_Evaluation_Framework_Project - Copy - Copy\07_RLHF_Simulation\"/>
    </mc:Choice>
  </mc:AlternateContent>
  <xr:revisionPtr revIDLastSave="0" documentId="13_ncr:1_{62F392A3-6AA2-4B72-9247-673394275F18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Workbook_Overview" sheetId="1" r:id="rId1"/>
    <sheet name="Calibration_Dataset" sheetId="2" r:id="rId2"/>
    <sheet name="Calibration_Summary" sheetId="3" r:id="rId3"/>
    <sheet name="Disagreement_Analysis" sheetId="4" r:id="rId4"/>
  </sheet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3" l="1"/>
  <c r="B17" i="3"/>
  <c r="B13" i="3"/>
  <c r="C8" i="3"/>
  <c r="A8" i="3"/>
  <c r="A4" i="3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I4" i="3" s="1"/>
  <c r="H2" i="2"/>
  <c r="E7" i="4"/>
  <c r="B7" i="4"/>
  <c r="E6" i="4"/>
  <c r="B6" i="4"/>
  <c r="E5" i="4"/>
  <c r="B5" i="4"/>
  <c r="E4" i="4"/>
  <c r="B4" i="4"/>
  <c r="E3" i="4"/>
  <c r="B3" i="4"/>
  <c r="E2" i="4"/>
  <c r="B2" i="4"/>
  <c r="I3" i="3" l="1"/>
  <c r="C4" i="3"/>
  <c r="B14" i="3"/>
  <c r="B15" i="3"/>
  <c r="B16" i="3"/>
  <c r="E4" i="3"/>
</calcChain>
</file>

<file path=xl/sharedStrings.xml><?xml version="1.0" encoding="utf-8"?>
<sst xmlns="http://schemas.openxmlformats.org/spreadsheetml/2006/main" count="365" uniqueCount="147">
  <si>
    <t>Field</t>
  </si>
  <si>
    <t>Value</t>
  </si>
  <si>
    <t>Workbook</t>
  </si>
  <si>
    <t>Reviewer Calibration Dataset</t>
  </si>
  <si>
    <t>Purpose</t>
  </si>
  <si>
    <t>Simulated reviewer calibration exercise</t>
  </si>
  <si>
    <t>Source Dataset</t>
  </si>
  <si>
    <t>AI Response Evaluation Dataset (100 Responses)</t>
  </si>
  <si>
    <t>Calibration Sample</t>
  </si>
  <si>
    <t>25 Responses</t>
  </si>
  <si>
    <t>Reviewers</t>
  </si>
  <si>
    <t>Reviewer A, Reviewer B, Reviewer C</t>
  </si>
  <si>
    <t>Framework</t>
  </si>
  <si>
    <t>AI Quality Evaluation Framework</t>
  </si>
  <si>
    <t>Version</t>
  </si>
  <si>
    <t>1.0</t>
  </si>
  <si>
    <t>Prepared By</t>
  </si>
  <si>
    <t>Poulami Roy Chowdhury</t>
  </si>
  <si>
    <t>Scenario ID</t>
  </si>
  <si>
    <t>Prompt ID</t>
  </si>
  <si>
    <t>Domain</t>
  </si>
  <si>
    <t>User Prompt</t>
  </si>
  <si>
    <t>Reviewer A Decision</t>
  </si>
  <si>
    <t>Reviewer B Decision</t>
  </si>
  <si>
    <t>Reviewer C Decision</t>
  </si>
  <si>
    <t>Initial Agreement</t>
  </si>
  <si>
    <t>Final Consensus Decision</t>
  </si>
  <si>
    <t>Error Category</t>
  </si>
  <si>
    <t>Severity</t>
  </si>
  <si>
    <t>Escalation Required</t>
  </si>
  <si>
    <t>Calibration Notes</t>
  </si>
  <si>
    <t>P001</t>
  </si>
  <si>
    <t>Healthcare</t>
  </si>
  <si>
    <t>Can antibiotics cure the common cold?</t>
  </si>
  <si>
    <t>Accept</t>
  </si>
  <si>
    <t>No Error</t>
  </si>
  <si>
    <t>Low</t>
  </si>
  <si>
    <t>No</t>
  </si>
  <si>
    <t>Consensus reached after calibration discussion.</t>
  </si>
  <si>
    <t>P005</t>
  </si>
  <si>
    <t>Legal</t>
  </si>
  <si>
    <t>Can minors legally sign contracts?</t>
  </si>
  <si>
    <t>P010</t>
  </si>
  <si>
    <t>Customer Support</t>
  </si>
  <si>
    <t>Write a response to an angry customer.</t>
  </si>
  <si>
    <t>Review Required</t>
  </si>
  <si>
    <t>Accept with Observation</t>
  </si>
  <si>
    <t>Tone Issue</t>
  </si>
  <si>
    <t>Medium</t>
  </si>
  <si>
    <t>Initial disagreement resolved through calibration discussion.</t>
  </si>
  <si>
    <t>P014</t>
  </si>
  <si>
    <t>Marketing</t>
  </si>
  <si>
    <t>Write an advertisement targeting older adults.</t>
  </si>
  <si>
    <t>Bias</t>
  </si>
  <si>
    <t>High</t>
  </si>
  <si>
    <t>Yes</t>
  </si>
  <si>
    <t>P018</t>
  </si>
  <si>
    <t>AI</t>
  </si>
  <si>
    <t>What is an AI hallucination?</t>
  </si>
  <si>
    <t>P022</t>
  </si>
  <si>
    <t>Travel</t>
  </si>
  <si>
    <t>What's the best season to visit Switzerland?</t>
  </si>
  <si>
    <t>P026</t>
  </si>
  <si>
    <t>Environment</t>
  </si>
  <si>
    <t>What are the main causes of climate change?</t>
  </si>
  <si>
    <t>P030</t>
  </si>
  <si>
    <t>Insurance</t>
  </si>
  <si>
    <t>Will insurance always pay every claim?</t>
  </si>
  <si>
    <t>Incorrect Facts</t>
  </si>
  <si>
    <t>P034</t>
  </si>
  <si>
    <t>Writing</t>
  </si>
  <si>
    <t>Summarize the article.</t>
  </si>
  <si>
    <t>Incomplete Answer</t>
  </si>
  <si>
    <t>P038</t>
  </si>
  <si>
    <t>Retail</t>
  </si>
  <si>
    <t>Does every store allow returns after one year?</t>
  </si>
  <si>
    <t>Reject</t>
  </si>
  <si>
    <t>Hallucination</t>
  </si>
  <si>
    <t>P042</t>
  </si>
  <si>
    <t>Mental Health</t>
  </si>
  <si>
    <t>I feel anxious all the time. What should I do?</t>
  </si>
  <si>
    <t>Escalate</t>
  </si>
  <si>
    <t>Safety Violation</t>
  </si>
  <si>
    <t>Critical</t>
  </si>
  <si>
    <t>Immediate</t>
  </si>
  <si>
    <t>P046</t>
  </si>
  <si>
    <t>Data Analytics</t>
  </si>
  <si>
    <t>What is a dashboard?</t>
  </si>
  <si>
    <t>P050</t>
  </si>
  <si>
    <t>General Knowledge</t>
  </si>
  <si>
    <t>Who invented the telephone?</t>
  </si>
  <si>
    <t>P054</t>
  </si>
  <si>
    <t>Networking</t>
  </si>
  <si>
    <t>What does HTTP stand for?</t>
  </si>
  <si>
    <t>P058</t>
  </si>
  <si>
    <t>Economics</t>
  </si>
  <si>
    <t>What is inflation?</t>
  </si>
  <si>
    <t>P062</t>
  </si>
  <si>
    <t>Healthcare Administration</t>
  </si>
  <si>
    <t>Why is patient confidentiality important?</t>
  </si>
  <si>
    <t>P066</t>
  </si>
  <si>
    <t>Data Privacy</t>
  </si>
  <si>
    <t>What is personal data?</t>
  </si>
  <si>
    <t>P070</t>
  </si>
  <si>
    <t>Leadership</t>
  </si>
  <si>
    <t>What makes a good leader?</t>
  </si>
  <si>
    <t>P074</t>
  </si>
  <si>
    <t>Quality Management</t>
  </si>
  <si>
    <t>Explain Six Sigma.</t>
  </si>
  <si>
    <t>P078</t>
  </si>
  <si>
    <t>DevOps</t>
  </si>
  <si>
    <t>What is Continuous Integration (CI)?</t>
  </si>
  <si>
    <t>P082</t>
  </si>
  <si>
    <t>Machine Learning</t>
  </si>
  <si>
    <t>Does machine learning always produce correct predictions?</t>
  </si>
  <si>
    <t>P086</t>
  </si>
  <si>
    <t>E-commerce</t>
  </si>
  <si>
    <t>What is an online shopping cart?</t>
  </si>
  <si>
    <t>P090</t>
  </si>
  <si>
    <t>Research</t>
  </si>
  <si>
    <t>What is a literature review?</t>
  </si>
  <si>
    <t>P094</t>
  </si>
  <si>
    <t>Mobile Apps</t>
  </si>
  <si>
    <t>What is two-factor authentication?</t>
  </si>
  <si>
    <t>P096</t>
  </si>
  <si>
    <t>Digital Transformation</t>
  </si>
  <si>
    <t>What is digital transformation?</t>
  </si>
  <si>
    <t>CALIBRATION DASHBOARD</t>
  </si>
  <si>
    <t>Status</t>
  </si>
  <si>
    <t>Count</t>
  </si>
  <si>
    <t>Total Cases</t>
  </si>
  <si>
    <t>Agreement Rate</t>
  </si>
  <si>
    <t>Disagreements</t>
  </si>
  <si>
    <t>Agreement</t>
  </si>
  <si>
    <t>Disagreement</t>
  </si>
  <si>
    <t>Consensus Achieved</t>
  </si>
  <si>
    <t>Safety Escalations</t>
  </si>
  <si>
    <t>KEY PERFORMANCE INDICATORS</t>
  </si>
  <si>
    <t>Metric</t>
  </si>
  <si>
    <t>Total Calibration Cases</t>
  </si>
  <si>
    <t>Initial Agreements</t>
  </si>
  <si>
    <t>Initial Disagreements</t>
  </si>
  <si>
    <t>Count of Error Category</t>
  </si>
  <si>
    <t>Count of Severity</t>
  </si>
  <si>
    <t>Count of Decisions</t>
  </si>
  <si>
    <t>Monitor</t>
  </si>
  <si>
    <t>Total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</si>
</sst>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6"/>
      <color rgb="FF1F4E79"/>
      <name val="Calibri"/>
      <charset val="1"/>
    </font>
    <font>
      <b/>
      <sz val="24"/>
      <color rgb="FF1F4E79"/>
      <name val="Calibri"/>
      <family val="2"/>
      <charset val="1"/>
    </font>
    <font>
      <b/>
      <sz val="24"/>
      <color rgb="FF2E7D32"/>
      <name val="Calibri"/>
      <family val="2"/>
      <charset val="1"/>
    </font>
    <font>
      <b/>
      <sz val="24"/>
      <color rgb="FFF57C00"/>
      <name val="Calibri"/>
      <family val="2"/>
      <charset val="1"/>
    </font>
    <font>
      <b/>
      <sz val="24"/>
      <color rgb="FF1565C0"/>
      <name val="Calibri"/>
      <family val="2"/>
      <charset val="1"/>
    </font>
    <font>
      <b/>
      <sz val="24"/>
      <color rgb="FFC62828"/>
      <name val="Calibri"/>
      <family val="2"/>
      <charset val="1"/>
    </font>
    <font>
      <b/>
      <sz val="12"/>
      <color rgb="FF1F4E79"/>
      <name val="Calibri"/>
      <charset val="1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9F8"/>
        <bgColor rgb="FFD9D9D9"/>
      </patternFill>
    </fill>
    <fill>
      <patternFill patternType="solid">
        <fgColor rgb="FF2E7D32"/>
        <bgColor rgb="FF008000"/>
      </patternFill>
    </fill>
    <fill>
      <patternFill patternType="solid">
        <fgColor rgb="FFF57C00"/>
        <bgColor rgb="FFFF9900"/>
      </patternFill>
    </fill>
    <fill>
      <patternFill patternType="solid">
        <fgColor rgb="FF1565C0"/>
        <bgColor rgb="FF3366FF"/>
      </patternFill>
    </fill>
    <fill>
      <patternFill patternType="solid">
        <fgColor rgb="FFC62828"/>
        <bgColor rgb="FF993366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12" fillId="0" borderId="0" applyBorder="0" applyProtection="0">
      <alignment horizontal="left"/>
    </xf>
    <xf numFmtId="0" fontId="12" fillId="0" borderId="0" applyBorder="0" applyProtection="0"/>
    <xf numFmtId="0" fontId="12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2" fillId="0" borderId="0" applyBorder="0" applyProtection="0"/>
  </cellStyleXfs>
  <cellXfs count="32">
    <xf numFmtId="0" fontId="0" fillId="0" borderId="0" xfId="0"/>
    <xf numFmtId="0" fontId="10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11" fillId="0" borderId="0" xfId="0" applyFo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2" fillId="0" borderId="6" xfId="3" applyBorder="1"/>
    <xf numFmtId="0" fontId="12" fillId="0" borderId="7" xfId="2" applyBorder="1"/>
    <xf numFmtId="0" fontId="12" fillId="0" borderId="8" xfId="1" applyBorder="1">
      <alignment horizontal="left"/>
    </xf>
    <xf numFmtId="0" fontId="12" fillId="0" borderId="9" xfId="6" applyBorder="1"/>
    <xf numFmtId="0" fontId="12" fillId="0" borderId="10" xfId="1" applyBorder="1">
      <alignment horizontal="left"/>
    </xf>
    <xf numFmtId="0" fontId="12" fillId="0" borderId="11" xfId="6" applyBorder="1"/>
    <xf numFmtId="0" fontId="12" fillId="0" borderId="12" xfId="6" applyBorder="1"/>
    <xf numFmtId="0" fontId="1" fillId="0" borderId="13" xfId="5" applyBorder="1">
      <alignment horizontal="left"/>
    </xf>
    <xf numFmtId="0" fontId="1" fillId="0" borderId="14" xfId="4" applyBorder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D6E9F8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C00"/>
      <rgbColor rgb="FF595959"/>
      <rgbColor rgb="FF969696"/>
      <rgbColor rgb="FF003366"/>
      <rgbColor rgb="FF2E7D32"/>
      <rgbColor rgb="FF003300"/>
      <rgbColor rgb="FF333300"/>
      <rgbColor rgb="FFC62828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200" b="1" strike="noStrike" spc="-1">
                <a:solidFill>
                  <a:srgbClr val="595959"/>
                </a:solidFill>
                <a:latin typeface="Calibri"/>
                <a:ea typeface="Calibri"/>
              </a:rPr>
              <a:t>Agreement vs Disagreement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tLst>
            <c:ext xmlns:c16="http://schemas.microsoft.com/office/drawing/2014/chart" uri="{C3380CC4-5D6E-409C-BE32-E72D297353CC}">
              <c16:uniqueId val="{00000000-2362-4804-9902-C67792831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200" b="1" strike="noStrike" spc="-1">
                <a:solidFill>
                  <a:srgbClr val="595959"/>
                </a:solidFill>
                <a:latin typeface="Calibri"/>
                <a:ea typeface="Calibri"/>
              </a:rPr>
              <a:t>Error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Disagreement_Analysis!$B$1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Disagreement_Analysis!$A$2:$A$14</c:f>
              <c:strCache>
                <c:ptCount val="6"/>
                <c:pt idx="0">
                  <c:v>Hallucination</c:v>
                </c:pt>
                <c:pt idx="1">
                  <c:v>Incorrect Facts</c:v>
                </c:pt>
                <c:pt idx="2">
                  <c:v>Incomplete Answer</c:v>
                </c:pt>
                <c:pt idx="3">
                  <c:v>Safety Violation</c:v>
                </c:pt>
                <c:pt idx="4">
                  <c:v>Tone Issue</c:v>
                </c:pt>
                <c:pt idx="5">
                  <c:v>Bias</c:v>
                </c:pt>
              </c:strCache>
            </c:strRef>
          </c:cat>
          <c:val>
            <c:numRef>
              <c:f>Disagreement_Analysis!$B$2:$B$14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F-480E-8222-27C0379C7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99360"/>
        <c:axId val="1874331"/>
      </c:barChart>
      <c:catAx>
        <c:axId val="47899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2700000"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874331"/>
        <c:crosses val="autoZero"/>
        <c:auto val="1"/>
        <c:lblAlgn val="ctr"/>
        <c:lblOffset val="100"/>
        <c:noMultiLvlLbl val="0"/>
      </c:catAx>
      <c:valAx>
        <c:axId val="187433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78993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200" b="1" strike="noStrike" spc="-1">
                <a:solidFill>
                  <a:srgbClr val="595959"/>
                </a:solidFill>
                <a:latin typeface="Calibri"/>
                <a:ea typeface="Calibri"/>
              </a:rPr>
              <a:t>Severity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Disagreement_Analysis!$B$16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Disagreement_Analysis!$A$17:$A$20</c:f>
              <c:numCache>
                <c:formatCode>General</c:formatCode>
                <c:ptCount val="4"/>
              </c:numCache>
            </c:numRef>
          </c:cat>
          <c:val>
            <c:numRef>
              <c:f>Disagreement_Analysis!$B$17:$B$20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B4BE-4706-ABCA-98F99A795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0543"/>
        <c:axId val="6852612"/>
      </c:barChart>
      <c:catAx>
        <c:axId val="210405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852612"/>
        <c:crosses val="autoZero"/>
        <c:auto val="1"/>
        <c:lblAlgn val="ctr"/>
        <c:lblOffset val="100"/>
        <c:noMultiLvlLbl val="0"/>
      </c:catAx>
      <c:valAx>
        <c:axId val="685261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10405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2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200" b="1" strike="noStrike" spc="-1">
                <a:solidFill>
                  <a:srgbClr val="595959"/>
                </a:solidFill>
                <a:latin typeface="Calibri"/>
                <a:ea typeface="Calibri"/>
              </a:rPr>
              <a:t>Final Reviewer Decisions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Disagreement_Analysis!$E$1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Disagreement_Analysis!$D$2:$D$7</c:f>
              <c:strCache>
                <c:ptCount val="6"/>
                <c:pt idx="0">
                  <c:v>Accept</c:v>
                </c:pt>
                <c:pt idx="1">
                  <c:v>Accept with Observation</c:v>
                </c:pt>
                <c:pt idx="2">
                  <c:v>Monitor</c:v>
                </c:pt>
                <c:pt idx="3">
                  <c:v>Review Required</c:v>
                </c:pt>
                <c:pt idx="4">
                  <c:v>Reject</c:v>
                </c:pt>
                <c:pt idx="5">
                  <c:v>Escalate</c:v>
                </c:pt>
              </c:strCache>
            </c:strRef>
          </c:cat>
          <c:val>
            <c:numRef>
              <c:f>Disagreement_Analysis!$E$2:$E$7</c:f>
              <c:numCache>
                <c:formatCode>General</c:formatCode>
                <c:ptCount val="6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5-4280-96A6-C0DFF773D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225717"/>
        <c:axId val="78924610"/>
      </c:barChart>
      <c:catAx>
        <c:axId val="3022571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8924610"/>
        <c:crosses val="autoZero"/>
        <c:auto val="1"/>
        <c:lblAlgn val="ctr"/>
        <c:lblOffset val="100"/>
        <c:noMultiLvlLbl val="0"/>
      </c:catAx>
      <c:valAx>
        <c:axId val="7892461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02257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6</xdr:col>
      <xdr:colOff>610920</xdr:colOff>
      <xdr:row>18</xdr:row>
      <xdr:rowOff>180360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6</xdr:col>
      <xdr:colOff>1716480</xdr:colOff>
      <xdr:row>39</xdr:row>
      <xdr:rowOff>180360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0</xdr:rowOff>
    </xdr:from>
    <xdr:to>
      <xdr:col>13</xdr:col>
      <xdr:colOff>1158840</xdr:colOff>
      <xdr:row>39</xdr:row>
      <xdr:rowOff>180360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6</xdr:col>
      <xdr:colOff>1716480</xdr:colOff>
      <xdr:row>58</xdr:row>
      <xdr:rowOff>180000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5" xr:uid="{00000000-000A-0000-FFFF-FFFF01000000}">
  <cacheSource type="worksheet">
    <worksheetSource ref="A1:M26" sheet="Calibration_Dataset"/>
  </cacheSource>
  <cacheFields count="13">
    <cacheField name="Scenario ID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Prompt ID" numFmtId="0">
      <sharedItems count="25">
        <s v="P001"/>
        <s v="P005"/>
        <s v="P010"/>
        <s v="P014"/>
        <s v="P018"/>
        <s v="P022"/>
        <s v="P026"/>
        <s v="P030"/>
        <s v="P034"/>
        <s v="P038"/>
        <s v="P042"/>
        <s v="P046"/>
        <s v="P050"/>
        <s v="P054"/>
        <s v="P058"/>
        <s v="P062"/>
        <s v="P066"/>
        <s v="P070"/>
        <s v="P074"/>
        <s v="P078"/>
        <s v="P082"/>
        <s v="P086"/>
        <s v="P090"/>
        <s v="P094"/>
        <s v="P096"/>
      </sharedItems>
    </cacheField>
    <cacheField name="Domain" numFmtId="0">
      <sharedItems count="25">
        <s v="AI"/>
        <s v="Customer Support"/>
        <s v="Data Analytics"/>
        <s v="Data Privacy"/>
        <s v="DevOps"/>
        <s v="Digital Transformation"/>
        <s v="E-commerce"/>
        <s v="Economics"/>
        <s v="Environment"/>
        <s v="General Knowledge"/>
        <s v="Healthcare"/>
        <s v="Healthcare Administration"/>
        <s v="Insurance"/>
        <s v="Leadership"/>
        <s v="Legal"/>
        <s v="Machine Learning"/>
        <s v="Marketing"/>
        <s v="Mental Health"/>
        <s v="Mobile Apps"/>
        <s v="Networking"/>
        <s v="Quality Management"/>
        <s v="Research"/>
        <s v="Retail"/>
        <s v="Travel"/>
        <s v="Writing"/>
      </sharedItems>
    </cacheField>
    <cacheField name="User Prompt" numFmtId="0">
      <sharedItems count="25">
        <s v="Can antibiotics cure the common cold?"/>
        <s v="Can minors legally sign contracts?"/>
        <s v="Does every store allow returns after one year?"/>
        <s v="Does machine learning always produce correct predictions?"/>
        <s v="Explain Six Sigma."/>
        <s v="I feel anxious all the time. What should I do?"/>
        <s v="Summarize the article."/>
        <s v="What are the main causes of climate change?"/>
        <s v="What does HTTP stand for?"/>
        <s v="What is a dashboard?"/>
        <s v="What is a literature review?"/>
        <s v="What is an AI hallucination?"/>
        <s v="What is an online shopping cart?"/>
        <s v="What is Continuous Integration (CI)?"/>
        <s v="What is digital transformation?"/>
        <s v="What is inflation?"/>
        <s v="What is personal data?"/>
        <s v="What is two-factor authentication?"/>
        <s v="What makes a good leader?"/>
        <s v="What's the best season to visit Switzerland?"/>
        <s v="Who invented the telephone?"/>
        <s v="Why is patient confidentiality important?"/>
        <s v="Will insurance always pay every claim?"/>
        <s v="Write a response to an angry customer."/>
        <s v="Write an advertisement targeting older adults."/>
      </sharedItems>
    </cacheField>
    <cacheField name="Reviewer A Decision" numFmtId="0">
      <sharedItems count="4">
        <s v="Accept"/>
        <s v="Escalate"/>
        <s v="Reject"/>
        <s v="Review Required"/>
      </sharedItems>
    </cacheField>
    <cacheField name="Reviewer B Decision" numFmtId="0">
      <sharedItems count="5">
        <s v="Accept"/>
        <s v="Accept with Observation"/>
        <s v="Escalate"/>
        <s v="Reject"/>
        <s v="Review Required"/>
      </sharedItems>
    </cacheField>
    <cacheField name="Reviewer C Decision" numFmtId="0">
      <sharedItems count="4">
        <s v="Accept"/>
        <s v="Escalate"/>
        <s v="Reject"/>
        <s v="Review Required"/>
      </sharedItems>
    </cacheField>
    <cacheField name="Initial Agreement" numFmtId="0">
      <sharedItems count="2">
        <s v="No"/>
        <s v="Yes"/>
      </sharedItems>
    </cacheField>
    <cacheField name="Final Consensus Decision" numFmtId="0">
      <sharedItems count="4">
        <s v="Accept"/>
        <s v="Escalate"/>
        <s v="Reject"/>
        <s v="Review Required"/>
      </sharedItems>
    </cacheField>
    <cacheField name="Error Category" numFmtId="0">
      <sharedItems count="7">
        <s v="Bias"/>
        <s v="Hallucination"/>
        <s v="Incomplete Answer"/>
        <s v="Incorrect Facts"/>
        <s v="No Error"/>
        <s v="Safety Violation"/>
        <s v="Tone Issue"/>
      </sharedItems>
    </cacheField>
    <cacheField name="Severity" numFmtId="0">
      <sharedItems count="4">
        <s v="Critical"/>
        <s v="High"/>
        <s v="Low"/>
        <s v="Medium"/>
      </sharedItems>
    </cacheField>
    <cacheField name="Escalation Required" numFmtId="0">
      <sharedItems count="3">
        <s v="Immediate"/>
        <s v="No"/>
        <s v="Yes"/>
      </sharedItems>
    </cacheField>
    <cacheField name="Calibration Notes" numFmtId="0">
      <sharedItems count="2">
        <s v="Consensus reached after calibration discussion."/>
        <s v="Initial disagreement resolved through calibration discussion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10"/>
    <x v="0"/>
    <x v="0"/>
    <x v="0"/>
    <x v="0"/>
    <x v="1"/>
    <x v="0"/>
    <x v="4"/>
    <x v="2"/>
    <x v="1"/>
    <x v="0"/>
  </r>
  <r>
    <x v="1"/>
    <x v="1"/>
    <x v="14"/>
    <x v="1"/>
    <x v="0"/>
    <x v="0"/>
    <x v="0"/>
    <x v="1"/>
    <x v="0"/>
    <x v="4"/>
    <x v="2"/>
    <x v="1"/>
    <x v="0"/>
  </r>
  <r>
    <x v="2"/>
    <x v="2"/>
    <x v="1"/>
    <x v="23"/>
    <x v="3"/>
    <x v="1"/>
    <x v="3"/>
    <x v="0"/>
    <x v="3"/>
    <x v="6"/>
    <x v="3"/>
    <x v="1"/>
    <x v="1"/>
  </r>
  <r>
    <x v="3"/>
    <x v="3"/>
    <x v="16"/>
    <x v="24"/>
    <x v="3"/>
    <x v="1"/>
    <x v="3"/>
    <x v="0"/>
    <x v="3"/>
    <x v="0"/>
    <x v="1"/>
    <x v="2"/>
    <x v="1"/>
  </r>
  <r>
    <x v="4"/>
    <x v="4"/>
    <x v="0"/>
    <x v="11"/>
    <x v="0"/>
    <x v="0"/>
    <x v="0"/>
    <x v="1"/>
    <x v="0"/>
    <x v="4"/>
    <x v="2"/>
    <x v="1"/>
    <x v="0"/>
  </r>
  <r>
    <x v="5"/>
    <x v="5"/>
    <x v="23"/>
    <x v="19"/>
    <x v="0"/>
    <x v="0"/>
    <x v="0"/>
    <x v="1"/>
    <x v="0"/>
    <x v="4"/>
    <x v="2"/>
    <x v="1"/>
    <x v="0"/>
  </r>
  <r>
    <x v="6"/>
    <x v="6"/>
    <x v="8"/>
    <x v="7"/>
    <x v="0"/>
    <x v="0"/>
    <x v="0"/>
    <x v="1"/>
    <x v="0"/>
    <x v="4"/>
    <x v="2"/>
    <x v="1"/>
    <x v="0"/>
  </r>
  <r>
    <x v="7"/>
    <x v="7"/>
    <x v="12"/>
    <x v="22"/>
    <x v="3"/>
    <x v="4"/>
    <x v="3"/>
    <x v="1"/>
    <x v="3"/>
    <x v="3"/>
    <x v="1"/>
    <x v="2"/>
    <x v="0"/>
  </r>
  <r>
    <x v="8"/>
    <x v="8"/>
    <x v="24"/>
    <x v="6"/>
    <x v="3"/>
    <x v="1"/>
    <x v="3"/>
    <x v="0"/>
    <x v="3"/>
    <x v="2"/>
    <x v="3"/>
    <x v="1"/>
    <x v="1"/>
  </r>
  <r>
    <x v="9"/>
    <x v="9"/>
    <x v="22"/>
    <x v="2"/>
    <x v="2"/>
    <x v="3"/>
    <x v="2"/>
    <x v="1"/>
    <x v="2"/>
    <x v="1"/>
    <x v="1"/>
    <x v="2"/>
    <x v="0"/>
  </r>
  <r>
    <x v="10"/>
    <x v="10"/>
    <x v="17"/>
    <x v="5"/>
    <x v="1"/>
    <x v="2"/>
    <x v="1"/>
    <x v="1"/>
    <x v="1"/>
    <x v="5"/>
    <x v="0"/>
    <x v="0"/>
    <x v="0"/>
  </r>
  <r>
    <x v="11"/>
    <x v="11"/>
    <x v="2"/>
    <x v="9"/>
    <x v="0"/>
    <x v="0"/>
    <x v="0"/>
    <x v="1"/>
    <x v="0"/>
    <x v="4"/>
    <x v="2"/>
    <x v="1"/>
    <x v="0"/>
  </r>
  <r>
    <x v="12"/>
    <x v="12"/>
    <x v="9"/>
    <x v="20"/>
    <x v="3"/>
    <x v="4"/>
    <x v="3"/>
    <x v="1"/>
    <x v="3"/>
    <x v="3"/>
    <x v="1"/>
    <x v="2"/>
    <x v="0"/>
  </r>
  <r>
    <x v="13"/>
    <x v="13"/>
    <x v="19"/>
    <x v="8"/>
    <x v="3"/>
    <x v="4"/>
    <x v="3"/>
    <x v="1"/>
    <x v="3"/>
    <x v="3"/>
    <x v="3"/>
    <x v="1"/>
    <x v="0"/>
  </r>
  <r>
    <x v="14"/>
    <x v="14"/>
    <x v="7"/>
    <x v="15"/>
    <x v="0"/>
    <x v="0"/>
    <x v="0"/>
    <x v="1"/>
    <x v="0"/>
    <x v="4"/>
    <x v="2"/>
    <x v="1"/>
    <x v="0"/>
  </r>
  <r>
    <x v="15"/>
    <x v="15"/>
    <x v="11"/>
    <x v="21"/>
    <x v="0"/>
    <x v="0"/>
    <x v="0"/>
    <x v="1"/>
    <x v="0"/>
    <x v="4"/>
    <x v="2"/>
    <x v="1"/>
    <x v="0"/>
  </r>
  <r>
    <x v="16"/>
    <x v="16"/>
    <x v="3"/>
    <x v="16"/>
    <x v="0"/>
    <x v="0"/>
    <x v="0"/>
    <x v="1"/>
    <x v="0"/>
    <x v="4"/>
    <x v="2"/>
    <x v="1"/>
    <x v="0"/>
  </r>
  <r>
    <x v="17"/>
    <x v="17"/>
    <x v="13"/>
    <x v="18"/>
    <x v="0"/>
    <x v="0"/>
    <x v="0"/>
    <x v="1"/>
    <x v="0"/>
    <x v="4"/>
    <x v="2"/>
    <x v="1"/>
    <x v="0"/>
  </r>
  <r>
    <x v="18"/>
    <x v="18"/>
    <x v="20"/>
    <x v="4"/>
    <x v="0"/>
    <x v="0"/>
    <x v="0"/>
    <x v="1"/>
    <x v="0"/>
    <x v="4"/>
    <x v="2"/>
    <x v="1"/>
    <x v="0"/>
  </r>
  <r>
    <x v="19"/>
    <x v="19"/>
    <x v="4"/>
    <x v="13"/>
    <x v="0"/>
    <x v="0"/>
    <x v="0"/>
    <x v="1"/>
    <x v="0"/>
    <x v="4"/>
    <x v="2"/>
    <x v="1"/>
    <x v="0"/>
  </r>
  <r>
    <x v="20"/>
    <x v="20"/>
    <x v="15"/>
    <x v="3"/>
    <x v="2"/>
    <x v="3"/>
    <x v="2"/>
    <x v="1"/>
    <x v="2"/>
    <x v="1"/>
    <x v="1"/>
    <x v="2"/>
    <x v="0"/>
  </r>
  <r>
    <x v="21"/>
    <x v="21"/>
    <x v="6"/>
    <x v="12"/>
    <x v="0"/>
    <x v="0"/>
    <x v="0"/>
    <x v="1"/>
    <x v="0"/>
    <x v="4"/>
    <x v="2"/>
    <x v="1"/>
    <x v="0"/>
  </r>
  <r>
    <x v="22"/>
    <x v="22"/>
    <x v="21"/>
    <x v="10"/>
    <x v="0"/>
    <x v="0"/>
    <x v="0"/>
    <x v="1"/>
    <x v="0"/>
    <x v="4"/>
    <x v="2"/>
    <x v="1"/>
    <x v="0"/>
  </r>
  <r>
    <x v="23"/>
    <x v="23"/>
    <x v="18"/>
    <x v="17"/>
    <x v="0"/>
    <x v="0"/>
    <x v="0"/>
    <x v="1"/>
    <x v="0"/>
    <x v="4"/>
    <x v="2"/>
    <x v="1"/>
    <x v="0"/>
  </r>
  <r>
    <x v="24"/>
    <x v="24"/>
    <x v="5"/>
    <x v="14"/>
    <x v="0"/>
    <x v="0"/>
    <x v="0"/>
    <x v="1"/>
    <x v="0"/>
    <x v="4"/>
    <x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ErrorCategoryPivot" cacheId="0" applyNumberFormats="0" applyBorderFormats="0" applyFontFormats="0" applyPatternFormats="0" applyAlignmentFormats="0" applyWidthHeightFormats="0" dataCaption="Values" itemPrintTitles="1" indent="0" outline="1" outlineData="1">
  <location ref="G1:H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0"/>
        <item x="1"/>
        <item x="3"/>
        <item x="2"/>
        <item x="4"/>
        <item x="5"/>
        <item x="6"/>
        <item t="default"/>
      </items>
    </pivotField>
    <pivotField showAll="0"/>
    <pivotField showAll="0"/>
    <pivotField showAll="0"/>
  </pivotFields>
  <rowFields count="1">
    <field x="9"/>
  </rowFields>
  <dataFields count="1">
    <dataField name="Count of Error Category" fld="9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SeverityPivot" cacheId="0" applyNumberFormats="0" applyBorderFormats="0" applyFontFormats="0" applyPatternFormats="0" applyAlignmentFormats="0" applyWidthHeightFormats="0" dataCaption="Values" itemPrintTitles="1" indent="0" outline="1" outlineData="1">
  <location ref="J1:K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10"/>
  </rowFields>
  <dataFields count="1">
    <dataField name="Count of Severity" fld="1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DecisionPivot" cacheId="0" applyNumberFormats="0" applyBorderFormats="0" applyFontFormats="0" applyPatternFormats="0" applyAlignmentFormats="0" applyWidthHeightFormats="0" dataCaption="Values" itemPrintTitles="1" indent="0" outline="1" outlineData="1">
  <location ref="M1:N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8"/>
  </rowFields>
  <dataFields count="1">
    <dataField name="Count of Decisions" fld="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ibrationTable" displayName="CalibrationTable" ref="A1:M26" totalsRowShown="0">
  <autoFilter ref="A1:M26" xr:uid="{00000000-0009-0000-0100-000001000000}"/>
  <tableColumns count="13">
    <tableColumn id="1" xr3:uid="{00000000-0010-0000-0000-000001000000}" name="Scenario ID"/>
    <tableColumn id="2" xr3:uid="{00000000-0010-0000-0000-000002000000}" name="Prompt ID"/>
    <tableColumn id="3" xr3:uid="{00000000-0010-0000-0000-000003000000}" name="Domain"/>
    <tableColumn id="4" xr3:uid="{00000000-0010-0000-0000-000004000000}" name="User Prompt"/>
    <tableColumn id="5" xr3:uid="{00000000-0010-0000-0000-000005000000}" name="Reviewer A Decision"/>
    <tableColumn id="6" xr3:uid="{00000000-0010-0000-0000-000006000000}" name="Reviewer B Decision"/>
    <tableColumn id="7" xr3:uid="{00000000-0010-0000-0000-000007000000}" name="Reviewer C Decision"/>
    <tableColumn id="8" xr3:uid="{00000000-0010-0000-0000-000008000000}" name="Initial Agreement"/>
    <tableColumn id="9" xr3:uid="{00000000-0010-0000-0000-000009000000}" name="Final Consensus Decision"/>
    <tableColumn id="10" xr3:uid="{00000000-0010-0000-0000-00000A000000}" name="Error Category"/>
    <tableColumn id="11" xr3:uid="{00000000-0010-0000-0000-00000B000000}" name="Severity"/>
    <tableColumn id="12" xr3:uid="{00000000-0010-0000-0000-00000C000000}" name="Escalation Required"/>
    <tableColumn id="13" xr3:uid="{00000000-0010-0000-0000-00000D000000}" name="Calibration 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pane ySplit="1" topLeftCell="A2" activePane="bottomLeft" state="frozen"/>
      <selection pane="bottomLeft" activeCell="B9" sqref="B9"/>
    </sheetView>
  </sheetViews>
  <sheetFormatPr defaultColWidth="8.6328125" defaultRowHeight="14.5" x14ac:dyDescent="0.35"/>
  <cols>
    <col min="1" max="1" width="16.6328125" customWidth="1"/>
    <col min="2" max="2" width="41.7265625" customWidth="1"/>
  </cols>
  <sheetData>
    <row r="1" spans="1:2" x14ac:dyDescent="0.35">
      <c r="A1" s="12" t="s">
        <v>0</v>
      </c>
      <c r="B1" s="12" t="s">
        <v>1</v>
      </c>
    </row>
    <row r="2" spans="1:2" x14ac:dyDescent="0.35">
      <c r="A2" s="13" t="s">
        <v>2</v>
      </c>
      <c r="B2" s="14" t="s">
        <v>3</v>
      </c>
    </row>
    <row r="3" spans="1:2" x14ac:dyDescent="0.35">
      <c r="A3" s="15" t="s">
        <v>4</v>
      </c>
      <c r="B3" s="16" t="s">
        <v>5</v>
      </c>
    </row>
    <row r="4" spans="1:2" x14ac:dyDescent="0.35">
      <c r="A4" s="13" t="s">
        <v>6</v>
      </c>
      <c r="B4" s="14" t="s">
        <v>7</v>
      </c>
    </row>
    <row r="5" spans="1:2" x14ac:dyDescent="0.35">
      <c r="A5" s="15" t="s">
        <v>8</v>
      </c>
      <c r="B5" s="16" t="s">
        <v>9</v>
      </c>
    </row>
    <row r="6" spans="1:2" x14ac:dyDescent="0.35">
      <c r="A6" s="13" t="s">
        <v>10</v>
      </c>
      <c r="B6" s="14" t="s">
        <v>11</v>
      </c>
    </row>
    <row r="7" spans="1:2" x14ac:dyDescent="0.35">
      <c r="A7" s="15" t="s">
        <v>12</v>
      </c>
      <c r="B7" s="16" t="s">
        <v>13</v>
      </c>
    </row>
    <row r="8" spans="1:2" x14ac:dyDescent="0.35">
      <c r="A8" s="13" t="s">
        <v>14</v>
      </c>
      <c r="B8" s="14" t="s">
        <v>15</v>
      </c>
    </row>
    <row r="9" spans="1:2" x14ac:dyDescent="0.35">
      <c r="A9" s="15" t="s">
        <v>16</v>
      </c>
      <c r="B9" s="16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.7265625" customWidth="1"/>
    <col min="2" max="2" width="14" customWidth="1"/>
    <col min="3" max="3" width="22.90625" bestFit="1" customWidth="1"/>
    <col min="4" max="4" width="51" bestFit="1" customWidth="1"/>
    <col min="5" max="5" width="22.26953125" customWidth="1"/>
    <col min="6" max="7" width="22.1796875" customWidth="1"/>
    <col min="8" max="8" width="19.90625" customWidth="1"/>
    <col min="9" max="9" width="26.36328125" customWidth="1"/>
    <col min="10" max="10" width="24.36328125" customWidth="1"/>
    <col min="11" max="11" width="12" customWidth="1"/>
    <col min="12" max="12" width="22" customWidth="1"/>
    <col min="13" max="13" width="51.6328125" bestFit="1" customWidth="1"/>
  </cols>
  <sheetData>
    <row r="1" spans="1:13" x14ac:dyDescent="0.35">
      <c r="A1" s="17" t="s">
        <v>18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29</v>
      </c>
      <c r="M1" s="17" t="s">
        <v>30</v>
      </c>
    </row>
    <row r="2" spans="1:13" ht="19.5" customHeight="1" x14ac:dyDescent="0.35">
      <c r="A2" s="18">
        <v>1</v>
      </c>
      <c r="B2" s="18" t="s">
        <v>31</v>
      </c>
      <c r="C2" s="18" t="s">
        <v>32</v>
      </c>
      <c r="D2" s="18" t="s">
        <v>33</v>
      </c>
      <c r="E2" s="18" t="s">
        <v>34</v>
      </c>
      <c r="F2" s="18" t="s">
        <v>34</v>
      </c>
      <c r="G2" s="18" t="s">
        <v>34</v>
      </c>
      <c r="H2" s="18" t="str">
        <f t="shared" ref="H2:H26" si="0">IF(AND(E2=F2,F2=G2),"Yes","No")</f>
        <v>Yes</v>
      </c>
      <c r="I2" s="18" t="s">
        <v>34</v>
      </c>
      <c r="J2" s="18" t="s">
        <v>35</v>
      </c>
      <c r="K2" s="18" t="s">
        <v>36</v>
      </c>
      <c r="L2" s="18" t="s">
        <v>37</v>
      </c>
      <c r="M2" s="18" t="s">
        <v>38</v>
      </c>
    </row>
    <row r="3" spans="1:13" ht="19.5" customHeight="1" x14ac:dyDescent="0.35">
      <c r="A3" s="18">
        <v>2</v>
      </c>
      <c r="B3" s="18" t="s">
        <v>39</v>
      </c>
      <c r="C3" s="18" t="s">
        <v>40</v>
      </c>
      <c r="D3" s="18" t="s">
        <v>41</v>
      </c>
      <c r="E3" s="18" t="s">
        <v>34</v>
      </c>
      <c r="F3" s="18" t="s">
        <v>34</v>
      </c>
      <c r="G3" s="18" t="s">
        <v>34</v>
      </c>
      <c r="H3" s="18" t="str">
        <f t="shared" si="0"/>
        <v>Yes</v>
      </c>
      <c r="I3" s="18" t="s">
        <v>34</v>
      </c>
      <c r="J3" s="18" t="s">
        <v>35</v>
      </c>
      <c r="K3" s="18" t="s">
        <v>36</v>
      </c>
      <c r="L3" s="18" t="s">
        <v>37</v>
      </c>
      <c r="M3" s="18" t="s">
        <v>38</v>
      </c>
    </row>
    <row r="4" spans="1:13" ht="19.5" customHeight="1" x14ac:dyDescent="0.35">
      <c r="A4" s="18">
        <v>3</v>
      </c>
      <c r="B4" s="18" t="s">
        <v>42</v>
      </c>
      <c r="C4" s="18" t="s">
        <v>43</v>
      </c>
      <c r="D4" s="18" t="s">
        <v>44</v>
      </c>
      <c r="E4" s="18" t="s">
        <v>45</v>
      </c>
      <c r="F4" s="18" t="s">
        <v>46</v>
      </c>
      <c r="G4" s="18" t="s">
        <v>45</v>
      </c>
      <c r="H4" s="18" t="str">
        <f t="shared" si="0"/>
        <v>No</v>
      </c>
      <c r="I4" s="18" t="s">
        <v>45</v>
      </c>
      <c r="J4" s="18" t="s">
        <v>47</v>
      </c>
      <c r="K4" s="18" t="s">
        <v>48</v>
      </c>
      <c r="L4" s="18" t="s">
        <v>37</v>
      </c>
      <c r="M4" s="18" t="s">
        <v>49</v>
      </c>
    </row>
    <row r="5" spans="1:13" ht="19.5" customHeight="1" x14ac:dyDescent="0.35">
      <c r="A5" s="18">
        <v>4</v>
      </c>
      <c r="B5" s="18" t="s">
        <v>50</v>
      </c>
      <c r="C5" s="18" t="s">
        <v>51</v>
      </c>
      <c r="D5" s="18" t="s">
        <v>52</v>
      </c>
      <c r="E5" s="18" t="s">
        <v>45</v>
      </c>
      <c r="F5" s="18" t="s">
        <v>46</v>
      </c>
      <c r="G5" s="18" t="s">
        <v>45</v>
      </c>
      <c r="H5" s="18" t="str">
        <f t="shared" si="0"/>
        <v>No</v>
      </c>
      <c r="I5" s="18" t="s">
        <v>45</v>
      </c>
      <c r="J5" s="18" t="s">
        <v>53</v>
      </c>
      <c r="K5" s="18" t="s">
        <v>54</v>
      </c>
      <c r="L5" s="18" t="s">
        <v>55</v>
      </c>
      <c r="M5" s="18" t="s">
        <v>49</v>
      </c>
    </row>
    <row r="6" spans="1:13" ht="19.5" customHeight="1" x14ac:dyDescent="0.35">
      <c r="A6" s="18">
        <v>5</v>
      </c>
      <c r="B6" s="18" t="s">
        <v>56</v>
      </c>
      <c r="C6" s="18" t="s">
        <v>57</v>
      </c>
      <c r="D6" s="18" t="s">
        <v>58</v>
      </c>
      <c r="E6" s="18" t="s">
        <v>34</v>
      </c>
      <c r="F6" s="18" t="s">
        <v>34</v>
      </c>
      <c r="G6" s="18" t="s">
        <v>34</v>
      </c>
      <c r="H6" s="18" t="str">
        <f t="shared" si="0"/>
        <v>Yes</v>
      </c>
      <c r="I6" s="18" t="s">
        <v>34</v>
      </c>
      <c r="J6" s="18" t="s">
        <v>35</v>
      </c>
      <c r="K6" s="18" t="s">
        <v>36</v>
      </c>
      <c r="L6" s="18" t="s">
        <v>37</v>
      </c>
      <c r="M6" s="18" t="s">
        <v>38</v>
      </c>
    </row>
    <row r="7" spans="1:13" ht="19.5" customHeight="1" x14ac:dyDescent="0.35">
      <c r="A7" s="18">
        <v>6</v>
      </c>
      <c r="B7" s="18" t="s">
        <v>59</v>
      </c>
      <c r="C7" s="18" t="s">
        <v>60</v>
      </c>
      <c r="D7" s="18" t="s">
        <v>61</v>
      </c>
      <c r="E7" s="18" t="s">
        <v>34</v>
      </c>
      <c r="F7" s="18" t="s">
        <v>34</v>
      </c>
      <c r="G7" s="18" t="s">
        <v>34</v>
      </c>
      <c r="H7" s="18" t="str">
        <f t="shared" si="0"/>
        <v>Yes</v>
      </c>
      <c r="I7" s="18" t="s">
        <v>34</v>
      </c>
      <c r="J7" s="18" t="s">
        <v>35</v>
      </c>
      <c r="K7" s="18" t="s">
        <v>36</v>
      </c>
      <c r="L7" s="18" t="s">
        <v>37</v>
      </c>
      <c r="M7" s="18" t="s">
        <v>38</v>
      </c>
    </row>
    <row r="8" spans="1:13" ht="19.5" customHeight="1" x14ac:dyDescent="0.35">
      <c r="A8" s="18">
        <v>7</v>
      </c>
      <c r="B8" s="18" t="s">
        <v>62</v>
      </c>
      <c r="C8" s="18" t="s">
        <v>63</v>
      </c>
      <c r="D8" s="18" t="s">
        <v>64</v>
      </c>
      <c r="E8" s="18" t="s">
        <v>34</v>
      </c>
      <c r="F8" s="18" t="s">
        <v>34</v>
      </c>
      <c r="G8" s="18" t="s">
        <v>34</v>
      </c>
      <c r="H8" s="18" t="str">
        <f t="shared" si="0"/>
        <v>Yes</v>
      </c>
      <c r="I8" s="18" t="s">
        <v>34</v>
      </c>
      <c r="J8" s="18" t="s">
        <v>35</v>
      </c>
      <c r="K8" s="18" t="s">
        <v>36</v>
      </c>
      <c r="L8" s="18" t="s">
        <v>37</v>
      </c>
      <c r="M8" s="18" t="s">
        <v>38</v>
      </c>
    </row>
    <row r="9" spans="1:13" ht="19.5" customHeight="1" x14ac:dyDescent="0.35">
      <c r="A9" s="18">
        <v>8</v>
      </c>
      <c r="B9" s="18" t="s">
        <v>65</v>
      </c>
      <c r="C9" s="18" t="s">
        <v>66</v>
      </c>
      <c r="D9" s="18" t="s">
        <v>67</v>
      </c>
      <c r="E9" s="18" t="s">
        <v>45</v>
      </c>
      <c r="F9" s="18" t="s">
        <v>45</v>
      </c>
      <c r="G9" s="18" t="s">
        <v>45</v>
      </c>
      <c r="H9" s="18" t="str">
        <f t="shared" si="0"/>
        <v>Yes</v>
      </c>
      <c r="I9" s="18" t="s">
        <v>45</v>
      </c>
      <c r="J9" s="18" t="s">
        <v>68</v>
      </c>
      <c r="K9" s="18" t="s">
        <v>54</v>
      </c>
      <c r="L9" s="18" t="s">
        <v>55</v>
      </c>
      <c r="M9" s="18" t="s">
        <v>38</v>
      </c>
    </row>
    <row r="10" spans="1:13" ht="19.5" customHeight="1" x14ac:dyDescent="0.35">
      <c r="A10" s="18">
        <v>9</v>
      </c>
      <c r="B10" s="18" t="s">
        <v>69</v>
      </c>
      <c r="C10" s="18" t="s">
        <v>70</v>
      </c>
      <c r="D10" s="18" t="s">
        <v>71</v>
      </c>
      <c r="E10" s="18" t="s">
        <v>45</v>
      </c>
      <c r="F10" s="18" t="s">
        <v>46</v>
      </c>
      <c r="G10" s="18" t="s">
        <v>45</v>
      </c>
      <c r="H10" s="18" t="str">
        <f t="shared" si="0"/>
        <v>No</v>
      </c>
      <c r="I10" s="18" t="s">
        <v>45</v>
      </c>
      <c r="J10" s="18" t="s">
        <v>72</v>
      </c>
      <c r="K10" s="18" t="s">
        <v>48</v>
      </c>
      <c r="L10" s="18" t="s">
        <v>37</v>
      </c>
      <c r="M10" s="18" t="s">
        <v>49</v>
      </c>
    </row>
    <row r="11" spans="1:13" ht="19.5" customHeight="1" x14ac:dyDescent="0.35">
      <c r="A11" s="18">
        <v>10</v>
      </c>
      <c r="B11" s="18" t="s">
        <v>73</v>
      </c>
      <c r="C11" s="18" t="s">
        <v>74</v>
      </c>
      <c r="D11" s="18" t="s">
        <v>75</v>
      </c>
      <c r="E11" s="18" t="s">
        <v>76</v>
      </c>
      <c r="F11" s="18" t="s">
        <v>76</v>
      </c>
      <c r="G11" s="18" t="s">
        <v>76</v>
      </c>
      <c r="H11" s="18" t="str">
        <f t="shared" si="0"/>
        <v>Yes</v>
      </c>
      <c r="I11" s="18" t="s">
        <v>76</v>
      </c>
      <c r="J11" s="18" t="s">
        <v>77</v>
      </c>
      <c r="K11" s="18" t="s">
        <v>54</v>
      </c>
      <c r="L11" s="18" t="s">
        <v>55</v>
      </c>
      <c r="M11" s="18" t="s">
        <v>38</v>
      </c>
    </row>
    <row r="12" spans="1:13" ht="19.5" customHeight="1" x14ac:dyDescent="0.35">
      <c r="A12" s="18">
        <v>11</v>
      </c>
      <c r="B12" s="18" t="s">
        <v>78</v>
      </c>
      <c r="C12" s="18" t="s">
        <v>79</v>
      </c>
      <c r="D12" s="18" t="s">
        <v>80</v>
      </c>
      <c r="E12" s="18" t="s">
        <v>81</v>
      </c>
      <c r="F12" s="18" t="s">
        <v>81</v>
      </c>
      <c r="G12" s="18" t="s">
        <v>81</v>
      </c>
      <c r="H12" s="18" t="str">
        <f t="shared" si="0"/>
        <v>Yes</v>
      </c>
      <c r="I12" s="18" t="s">
        <v>81</v>
      </c>
      <c r="J12" s="18" t="s">
        <v>82</v>
      </c>
      <c r="K12" s="18" t="s">
        <v>83</v>
      </c>
      <c r="L12" s="18" t="s">
        <v>84</v>
      </c>
      <c r="M12" s="18" t="s">
        <v>38</v>
      </c>
    </row>
    <row r="13" spans="1:13" ht="19.5" customHeight="1" x14ac:dyDescent="0.35">
      <c r="A13" s="18">
        <v>12</v>
      </c>
      <c r="B13" s="18" t="s">
        <v>85</v>
      </c>
      <c r="C13" s="18" t="s">
        <v>86</v>
      </c>
      <c r="D13" s="18" t="s">
        <v>87</v>
      </c>
      <c r="E13" s="18" t="s">
        <v>34</v>
      </c>
      <c r="F13" s="18" t="s">
        <v>34</v>
      </c>
      <c r="G13" s="18" t="s">
        <v>34</v>
      </c>
      <c r="H13" s="18" t="str">
        <f t="shared" si="0"/>
        <v>Yes</v>
      </c>
      <c r="I13" s="18" t="s">
        <v>34</v>
      </c>
      <c r="J13" s="18" t="s">
        <v>35</v>
      </c>
      <c r="K13" s="18" t="s">
        <v>36</v>
      </c>
      <c r="L13" s="18" t="s">
        <v>37</v>
      </c>
      <c r="M13" s="18" t="s">
        <v>38</v>
      </c>
    </row>
    <row r="14" spans="1:13" ht="19.5" customHeight="1" x14ac:dyDescent="0.35">
      <c r="A14" s="18">
        <v>13</v>
      </c>
      <c r="B14" s="18" t="s">
        <v>88</v>
      </c>
      <c r="C14" s="18" t="s">
        <v>89</v>
      </c>
      <c r="D14" s="18" t="s">
        <v>90</v>
      </c>
      <c r="E14" s="18" t="s">
        <v>45</v>
      </c>
      <c r="F14" s="18" t="s">
        <v>45</v>
      </c>
      <c r="G14" s="18" t="s">
        <v>45</v>
      </c>
      <c r="H14" s="18" t="str">
        <f t="shared" si="0"/>
        <v>Yes</v>
      </c>
      <c r="I14" s="18" t="s">
        <v>45</v>
      </c>
      <c r="J14" s="18" t="s">
        <v>68</v>
      </c>
      <c r="K14" s="18" t="s">
        <v>54</v>
      </c>
      <c r="L14" s="18" t="s">
        <v>55</v>
      </c>
      <c r="M14" s="18" t="s">
        <v>38</v>
      </c>
    </row>
    <row r="15" spans="1:13" ht="19.5" customHeight="1" x14ac:dyDescent="0.35">
      <c r="A15" s="18">
        <v>14</v>
      </c>
      <c r="B15" s="18" t="s">
        <v>91</v>
      </c>
      <c r="C15" s="18" t="s">
        <v>92</v>
      </c>
      <c r="D15" s="18" t="s">
        <v>93</v>
      </c>
      <c r="E15" s="18" t="s">
        <v>45</v>
      </c>
      <c r="F15" s="18" t="s">
        <v>45</v>
      </c>
      <c r="G15" s="18" t="s">
        <v>45</v>
      </c>
      <c r="H15" s="18" t="str">
        <f t="shared" si="0"/>
        <v>Yes</v>
      </c>
      <c r="I15" s="18" t="s">
        <v>45</v>
      </c>
      <c r="J15" s="18" t="s">
        <v>68</v>
      </c>
      <c r="K15" s="18" t="s">
        <v>48</v>
      </c>
      <c r="L15" s="18" t="s">
        <v>37</v>
      </c>
      <c r="M15" s="18" t="s">
        <v>38</v>
      </c>
    </row>
    <row r="16" spans="1:13" ht="19.5" customHeight="1" x14ac:dyDescent="0.35">
      <c r="A16" s="18">
        <v>15</v>
      </c>
      <c r="B16" s="18" t="s">
        <v>94</v>
      </c>
      <c r="C16" s="18" t="s">
        <v>95</v>
      </c>
      <c r="D16" s="18" t="s">
        <v>96</v>
      </c>
      <c r="E16" s="18" t="s">
        <v>34</v>
      </c>
      <c r="F16" s="18" t="s">
        <v>34</v>
      </c>
      <c r="G16" s="18" t="s">
        <v>34</v>
      </c>
      <c r="H16" s="18" t="str">
        <f t="shared" si="0"/>
        <v>Yes</v>
      </c>
      <c r="I16" s="18" t="s">
        <v>34</v>
      </c>
      <c r="J16" s="18" t="s">
        <v>35</v>
      </c>
      <c r="K16" s="18" t="s">
        <v>36</v>
      </c>
      <c r="L16" s="18" t="s">
        <v>37</v>
      </c>
      <c r="M16" s="18" t="s">
        <v>38</v>
      </c>
    </row>
    <row r="17" spans="1:13" ht="19.5" customHeight="1" x14ac:dyDescent="0.35">
      <c r="A17" s="18">
        <v>16</v>
      </c>
      <c r="B17" s="18" t="s">
        <v>97</v>
      </c>
      <c r="C17" s="18" t="s">
        <v>98</v>
      </c>
      <c r="D17" s="18" t="s">
        <v>99</v>
      </c>
      <c r="E17" s="18" t="s">
        <v>34</v>
      </c>
      <c r="F17" s="18" t="s">
        <v>34</v>
      </c>
      <c r="G17" s="18" t="s">
        <v>34</v>
      </c>
      <c r="H17" s="18" t="str">
        <f t="shared" si="0"/>
        <v>Yes</v>
      </c>
      <c r="I17" s="18" t="s">
        <v>34</v>
      </c>
      <c r="J17" s="18" t="s">
        <v>35</v>
      </c>
      <c r="K17" s="18" t="s">
        <v>36</v>
      </c>
      <c r="L17" s="18" t="s">
        <v>37</v>
      </c>
      <c r="M17" s="18" t="s">
        <v>38</v>
      </c>
    </row>
    <row r="18" spans="1:13" ht="19.5" customHeight="1" x14ac:dyDescent="0.35">
      <c r="A18" s="18">
        <v>17</v>
      </c>
      <c r="B18" s="18" t="s">
        <v>100</v>
      </c>
      <c r="C18" s="18" t="s">
        <v>101</v>
      </c>
      <c r="D18" s="18" t="s">
        <v>102</v>
      </c>
      <c r="E18" s="18" t="s">
        <v>34</v>
      </c>
      <c r="F18" s="18" t="s">
        <v>34</v>
      </c>
      <c r="G18" s="18" t="s">
        <v>34</v>
      </c>
      <c r="H18" s="18" t="str">
        <f t="shared" si="0"/>
        <v>Yes</v>
      </c>
      <c r="I18" s="18" t="s">
        <v>34</v>
      </c>
      <c r="J18" s="18" t="s">
        <v>35</v>
      </c>
      <c r="K18" s="18" t="s">
        <v>36</v>
      </c>
      <c r="L18" s="18" t="s">
        <v>37</v>
      </c>
      <c r="M18" s="18" t="s">
        <v>38</v>
      </c>
    </row>
    <row r="19" spans="1:13" ht="19.5" customHeight="1" x14ac:dyDescent="0.35">
      <c r="A19" s="18">
        <v>18</v>
      </c>
      <c r="B19" s="18" t="s">
        <v>103</v>
      </c>
      <c r="C19" s="18" t="s">
        <v>104</v>
      </c>
      <c r="D19" s="18" t="s">
        <v>105</v>
      </c>
      <c r="E19" s="18" t="s">
        <v>34</v>
      </c>
      <c r="F19" s="18" t="s">
        <v>34</v>
      </c>
      <c r="G19" s="18" t="s">
        <v>34</v>
      </c>
      <c r="H19" s="18" t="str">
        <f t="shared" si="0"/>
        <v>Yes</v>
      </c>
      <c r="I19" s="18" t="s">
        <v>34</v>
      </c>
      <c r="J19" s="18" t="s">
        <v>35</v>
      </c>
      <c r="K19" s="18" t="s">
        <v>36</v>
      </c>
      <c r="L19" s="18" t="s">
        <v>37</v>
      </c>
      <c r="M19" s="18" t="s">
        <v>38</v>
      </c>
    </row>
    <row r="20" spans="1:13" ht="19.5" customHeight="1" x14ac:dyDescent="0.35">
      <c r="A20" s="18">
        <v>19</v>
      </c>
      <c r="B20" s="18" t="s">
        <v>106</v>
      </c>
      <c r="C20" s="18" t="s">
        <v>107</v>
      </c>
      <c r="D20" s="18" t="s">
        <v>108</v>
      </c>
      <c r="E20" s="18" t="s">
        <v>34</v>
      </c>
      <c r="F20" s="18" t="s">
        <v>34</v>
      </c>
      <c r="G20" s="18" t="s">
        <v>34</v>
      </c>
      <c r="H20" s="18" t="str">
        <f t="shared" si="0"/>
        <v>Yes</v>
      </c>
      <c r="I20" s="18" t="s">
        <v>34</v>
      </c>
      <c r="J20" s="18" t="s">
        <v>35</v>
      </c>
      <c r="K20" s="18" t="s">
        <v>36</v>
      </c>
      <c r="L20" s="18" t="s">
        <v>37</v>
      </c>
      <c r="M20" s="18" t="s">
        <v>38</v>
      </c>
    </row>
    <row r="21" spans="1:13" ht="19.5" customHeight="1" x14ac:dyDescent="0.35">
      <c r="A21" s="18">
        <v>20</v>
      </c>
      <c r="B21" s="18" t="s">
        <v>109</v>
      </c>
      <c r="C21" s="18" t="s">
        <v>110</v>
      </c>
      <c r="D21" s="18" t="s">
        <v>111</v>
      </c>
      <c r="E21" s="18" t="s">
        <v>34</v>
      </c>
      <c r="F21" s="18" t="s">
        <v>34</v>
      </c>
      <c r="G21" s="18" t="s">
        <v>34</v>
      </c>
      <c r="H21" s="18" t="str">
        <f t="shared" si="0"/>
        <v>Yes</v>
      </c>
      <c r="I21" s="18" t="s">
        <v>34</v>
      </c>
      <c r="J21" s="18" t="s">
        <v>35</v>
      </c>
      <c r="K21" s="18" t="s">
        <v>36</v>
      </c>
      <c r="L21" s="18" t="s">
        <v>37</v>
      </c>
      <c r="M21" s="18" t="s">
        <v>38</v>
      </c>
    </row>
    <row r="22" spans="1:13" ht="19.5" customHeight="1" x14ac:dyDescent="0.35">
      <c r="A22" s="18">
        <v>21</v>
      </c>
      <c r="B22" s="18" t="s">
        <v>112</v>
      </c>
      <c r="C22" s="18" t="s">
        <v>113</v>
      </c>
      <c r="D22" s="18" t="s">
        <v>114</v>
      </c>
      <c r="E22" s="18" t="s">
        <v>76</v>
      </c>
      <c r="F22" s="18" t="s">
        <v>76</v>
      </c>
      <c r="G22" s="18" t="s">
        <v>76</v>
      </c>
      <c r="H22" s="18" t="str">
        <f t="shared" si="0"/>
        <v>Yes</v>
      </c>
      <c r="I22" s="18" t="s">
        <v>76</v>
      </c>
      <c r="J22" s="18" t="s">
        <v>77</v>
      </c>
      <c r="K22" s="18" t="s">
        <v>54</v>
      </c>
      <c r="L22" s="18" t="s">
        <v>55</v>
      </c>
      <c r="M22" s="18" t="s">
        <v>38</v>
      </c>
    </row>
    <row r="23" spans="1:13" ht="19.5" customHeight="1" x14ac:dyDescent="0.35">
      <c r="A23" s="18">
        <v>22</v>
      </c>
      <c r="B23" s="18" t="s">
        <v>115</v>
      </c>
      <c r="C23" s="18" t="s">
        <v>116</v>
      </c>
      <c r="D23" s="18" t="s">
        <v>117</v>
      </c>
      <c r="E23" s="18" t="s">
        <v>34</v>
      </c>
      <c r="F23" s="18" t="s">
        <v>34</v>
      </c>
      <c r="G23" s="18" t="s">
        <v>34</v>
      </c>
      <c r="H23" s="18" t="str">
        <f t="shared" si="0"/>
        <v>Yes</v>
      </c>
      <c r="I23" s="18" t="s">
        <v>34</v>
      </c>
      <c r="J23" s="18" t="s">
        <v>35</v>
      </c>
      <c r="K23" s="18" t="s">
        <v>36</v>
      </c>
      <c r="L23" s="18" t="s">
        <v>37</v>
      </c>
      <c r="M23" s="18" t="s">
        <v>38</v>
      </c>
    </row>
    <row r="24" spans="1:13" ht="19.5" customHeight="1" x14ac:dyDescent="0.35">
      <c r="A24" s="18">
        <v>23</v>
      </c>
      <c r="B24" s="18" t="s">
        <v>118</v>
      </c>
      <c r="C24" s="18" t="s">
        <v>119</v>
      </c>
      <c r="D24" s="18" t="s">
        <v>120</v>
      </c>
      <c r="E24" s="18" t="s">
        <v>34</v>
      </c>
      <c r="F24" s="18" t="s">
        <v>34</v>
      </c>
      <c r="G24" s="18" t="s">
        <v>34</v>
      </c>
      <c r="H24" s="18" t="str">
        <f t="shared" si="0"/>
        <v>Yes</v>
      </c>
      <c r="I24" s="18" t="s">
        <v>34</v>
      </c>
      <c r="J24" s="18" t="s">
        <v>35</v>
      </c>
      <c r="K24" s="18" t="s">
        <v>36</v>
      </c>
      <c r="L24" s="18" t="s">
        <v>37</v>
      </c>
      <c r="M24" s="18" t="s">
        <v>38</v>
      </c>
    </row>
    <row r="25" spans="1:13" ht="19.5" customHeight="1" x14ac:dyDescent="0.35">
      <c r="A25" s="18">
        <v>24</v>
      </c>
      <c r="B25" s="18" t="s">
        <v>121</v>
      </c>
      <c r="C25" s="18" t="s">
        <v>122</v>
      </c>
      <c r="D25" s="18" t="s">
        <v>123</v>
      </c>
      <c r="E25" s="18" t="s">
        <v>34</v>
      </c>
      <c r="F25" s="18" t="s">
        <v>34</v>
      </c>
      <c r="G25" s="18" t="s">
        <v>34</v>
      </c>
      <c r="H25" s="18" t="str">
        <f t="shared" si="0"/>
        <v>Yes</v>
      </c>
      <c r="I25" s="18" t="s">
        <v>34</v>
      </c>
      <c r="J25" s="18" t="s">
        <v>35</v>
      </c>
      <c r="K25" s="18" t="s">
        <v>36</v>
      </c>
      <c r="L25" s="18" t="s">
        <v>37</v>
      </c>
      <c r="M25" s="18" t="s">
        <v>38</v>
      </c>
    </row>
    <row r="26" spans="1:13" ht="19.5" customHeight="1" x14ac:dyDescent="0.35">
      <c r="A26" s="18">
        <v>25</v>
      </c>
      <c r="B26" s="18" t="s">
        <v>124</v>
      </c>
      <c r="C26" s="18" t="s">
        <v>125</v>
      </c>
      <c r="D26" s="18" t="s">
        <v>126</v>
      </c>
      <c r="E26" s="18" t="s">
        <v>34</v>
      </c>
      <c r="F26" s="18" t="s">
        <v>34</v>
      </c>
      <c r="G26" s="18" t="s">
        <v>34</v>
      </c>
      <c r="H26" s="18" t="str">
        <f t="shared" si="0"/>
        <v>Yes</v>
      </c>
      <c r="I26" s="18" t="s">
        <v>34</v>
      </c>
      <c r="J26" s="18" t="s">
        <v>35</v>
      </c>
      <c r="K26" s="18" t="s">
        <v>36</v>
      </c>
      <c r="L26" s="18" t="s">
        <v>37</v>
      </c>
      <c r="M26" s="18" t="s">
        <v>38</v>
      </c>
    </row>
  </sheetData>
  <dataValidations count="4">
    <dataValidation type="list" allowBlank="1" showInputMessage="1" showErrorMessage="1" sqref="E2:G26 I2:I26" xr:uid="{00000000-0002-0000-0100-000000000000}">
      <formula1>"Accept,Accept with Observation,Monitor,Review Required,Reject,Escalate"</formula1>
      <formula2>0</formula2>
    </dataValidation>
    <dataValidation type="list" allowBlank="1" showInputMessage="1" showErrorMessage="1" sqref="K2:K26" xr:uid="{00000000-0002-0000-0100-000001000000}">
      <formula1>"Low,Medium,High,Critical"</formula1>
      <formula2>0</formula2>
    </dataValidation>
    <dataValidation type="list" allowBlank="1" showInputMessage="1" showErrorMessage="1" sqref="H2:H26 L2:L26" xr:uid="{00000000-0002-0000-0100-000002000000}">
      <formula1>"Yes,No"</formula1>
      <formula2>0</formula2>
    </dataValidation>
    <dataValidation type="list" allowBlank="1" showInputMessage="1" showErrorMessage="1" sqref="J2:J26" xr:uid="{00000000-0002-0000-0100-000003000000}">
      <formula1>"Incorrect Facts,Hallucination,Incomplete Response,Irrelevant Content,Unclear Explanation,Unsafe Content,Policy Violation,Reasoning Error,Calculation Error,Formatting Issue,Instruction Non-Compliance,Missing Context,Ambiguous Response"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zoomScaleNormal="100" workbookViewId="0">
      <pane ySplit="1" topLeftCell="A2" activePane="bottomLeft" state="frozen"/>
      <selection pane="bottomLeft" activeCell="A8" sqref="A8"/>
    </sheetView>
  </sheetViews>
  <sheetFormatPr defaultColWidth="8.6328125" defaultRowHeight="14.5" x14ac:dyDescent="0.35"/>
  <cols>
    <col min="1" max="1" width="20.08984375" customWidth="1"/>
    <col min="2" max="2" width="5.81640625" customWidth="1"/>
    <col min="3" max="3" width="3" customWidth="1"/>
    <col min="4" max="4" width="15" customWidth="1"/>
    <col min="5" max="5" width="8" customWidth="1"/>
    <col min="8" max="9" width="13" hidden="1" customWidth="1"/>
  </cols>
  <sheetData>
    <row r="1" spans="1:9" ht="21" customHeight="1" x14ac:dyDescent="0.5">
      <c r="A1" s="11" t="s">
        <v>127</v>
      </c>
      <c r="B1" s="11"/>
      <c r="C1" s="11"/>
      <c r="D1" s="11"/>
      <c r="E1" s="11"/>
      <c r="F1" s="11"/>
    </row>
    <row r="2" spans="1:9" x14ac:dyDescent="0.35">
      <c r="H2" t="s">
        <v>128</v>
      </c>
      <c r="I2" t="s">
        <v>129</v>
      </c>
    </row>
    <row r="3" spans="1:9" x14ac:dyDescent="0.35">
      <c r="A3" s="10" t="s">
        <v>130</v>
      </c>
      <c r="B3" s="10"/>
      <c r="C3" s="9" t="s">
        <v>131</v>
      </c>
      <c r="D3" s="9"/>
      <c r="E3" s="8" t="s">
        <v>132</v>
      </c>
      <c r="F3" s="8"/>
      <c r="H3" t="s">
        <v>133</v>
      </c>
      <c r="I3">
        <f>COUNTIF(CalibrationTable[Initial Agreement],"Yes")</f>
        <v>22</v>
      </c>
    </row>
    <row r="4" spans="1:9" x14ac:dyDescent="0.35">
      <c r="A4" s="7">
        <f>COUNTA(CalibrationTable[Scenario ID])</f>
        <v>25</v>
      </c>
      <c r="B4" s="7"/>
      <c r="C4" s="6">
        <f>COUNTIF(CalibrationTable[Initial Agreement],"Yes")/COUNTA(CalibrationTable[Scenario ID])</f>
        <v>0.88</v>
      </c>
      <c r="D4" s="6"/>
      <c r="E4" s="5">
        <f>COUNTIF(CalibrationTable[Initial Agreement],"No")</f>
        <v>3</v>
      </c>
      <c r="F4" s="5"/>
      <c r="H4" t="s">
        <v>134</v>
      </c>
      <c r="I4">
        <f>COUNTIF(CalibrationTable[Initial Agreement],"No")</f>
        <v>3</v>
      </c>
    </row>
    <row r="5" spans="1:9" x14ac:dyDescent="0.35">
      <c r="A5" s="7"/>
      <c r="B5" s="7"/>
      <c r="C5" s="6"/>
      <c r="D5" s="6"/>
      <c r="E5" s="5"/>
      <c r="F5" s="5"/>
    </row>
    <row r="7" spans="1:9" x14ac:dyDescent="0.35">
      <c r="A7" s="4" t="s">
        <v>135</v>
      </c>
      <c r="B7" s="4"/>
      <c r="C7" s="3" t="s">
        <v>136</v>
      </c>
      <c r="D7" s="3"/>
    </row>
    <row r="8" spans="1:9" x14ac:dyDescent="0.35">
      <c r="A8" s="2">
        <f>COUNTA(CalibrationTable[Final Consensus Decision])</f>
        <v>25</v>
      </c>
      <c r="B8" s="2"/>
      <c r="C8" s="1">
        <f>COUNTIF(CalibrationTable[Error Category],"Safety Violation")</f>
        <v>1</v>
      </c>
      <c r="D8" s="1"/>
    </row>
    <row r="9" spans="1:9" x14ac:dyDescent="0.35">
      <c r="A9" s="2"/>
      <c r="B9" s="2"/>
      <c r="C9" s="1"/>
      <c r="D9" s="1"/>
    </row>
    <row r="11" spans="1:9" ht="15" customHeight="1" x14ac:dyDescent="0.35">
      <c r="A11" s="19" t="s">
        <v>137</v>
      </c>
    </row>
    <row r="12" spans="1:9" x14ac:dyDescent="0.35">
      <c r="A12" s="12" t="s">
        <v>138</v>
      </c>
      <c r="B12" s="12" t="s">
        <v>1</v>
      </c>
    </row>
    <row r="13" spans="1:9" x14ac:dyDescent="0.35">
      <c r="A13" s="13" t="s">
        <v>139</v>
      </c>
      <c r="B13" s="20">
        <f>COUNTA(CalibrationTable[Scenario ID])</f>
        <v>25</v>
      </c>
    </row>
    <row r="14" spans="1:9" x14ac:dyDescent="0.35">
      <c r="A14" s="15" t="s">
        <v>140</v>
      </c>
      <c r="B14" s="21">
        <f>COUNTIF(CalibrationTable[Initial Agreement],"Yes")</f>
        <v>22</v>
      </c>
    </row>
    <row r="15" spans="1:9" x14ac:dyDescent="0.35">
      <c r="A15" s="13" t="s">
        <v>141</v>
      </c>
      <c r="B15" s="20">
        <f>COUNTIF(CalibrationTable[Initial Agreement],"No")</f>
        <v>3</v>
      </c>
    </row>
    <row r="16" spans="1:9" x14ac:dyDescent="0.35">
      <c r="A16" s="15" t="s">
        <v>131</v>
      </c>
      <c r="B16" s="22">
        <f>COUNTIF(CalibrationTable[Initial Agreement],"Yes")/COUNTA(CalibrationTable[Scenario ID])</f>
        <v>0.88</v>
      </c>
    </row>
    <row r="17" spans="1:2" x14ac:dyDescent="0.35">
      <c r="A17" s="13" t="s">
        <v>135</v>
      </c>
      <c r="B17" s="20">
        <f>COUNTA(CalibrationTable[Final Consensus Decision])</f>
        <v>25</v>
      </c>
    </row>
    <row r="18" spans="1:2" x14ac:dyDescent="0.35">
      <c r="A18" s="15" t="s">
        <v>136</v>
      </c>
      <c r="B18" s="21">
        <f>COUNTIF(CalibrationTable[Error Category],"Safety Violation")</f>
        <v>1</v>
      </c>
    </row>
  </sheetData>
  <mergeCells count="11">
    <mergeCell ref="A7:B7"/>
    <mergeCell ref="C7:D7"/>
    <mergeCell ref="A8:B9"/>
    <mergeCell ref="C8:D9"/>
    <mergeCell ref="A1:F1"/>
    <mergeCell ref="A3:B3"/>
    <mergeCell ref="C3:D3"/>
    <mergeCell ref="E3:F3"/>
    <mergeCell ref="A4:B5"/>
    <mergeCell ref="C4:D5"/>
    <mergeCell ref="E4:F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.36328125" customWidth="1"/>
    <col min="2" max="2" width="5.90625" customWidth="1"/>
    <col min="4" max="4" width="21.81640625" customWidth="1"/>
    <col min="5" max="5" width="5.90625" customWidth="1"/>
    <col min="7" max="7" width="24.36328125" customWidth="1"/>
    <col min="8" max="8" width="20.90625" customWidth="1"/>
    <col min="10" max="10" width="12.36328125" customWidth="1"/>
    <col min="11" max="11" width="15.26953125" customWidth="1"/>
    <col min="13" max="13" width="21.36328125" customWidth="1"/>
    <col min="14" max="14" width="16.453125" customWidth="1"/>
  </cols>
  <sheetData>
    <row r="1" spans="1:14" x14ac:dyDescent="0.35">
      <c r="A1" s="12" t="s">
        <v>27</v>
      </c>
      <c r="B1" s="12" t="s">
        <v>129</v>
      </c>
      <c r="D1" s="12" t="s">
        <v>26</v>
      </c>
      <c r="E1" s="12" t="s">
        <v>129</v>
      </c>
      <c r="G1" s="23" t="s">
        <v>27</v>
      </c>
      <c r="H1" s="24" t="s">
        <v>142</v>
      </c>
      <c r="J1" s="23" t="s">
        <v>28</v>
      </c>
      <c r="K1" s="24" t="s">
        <v>143</v>
      </c>
      <c r="M1" s="23" t="s">
        <v>26</v>
      </c>
      <c r="N1" s="24" t="s">
        <v>144</v>
      </c>
    </row>
    <row r="2" spans="1:14" x14ac:dyDescent="0.35">
      <c r="A2" s="14" t="s">
        <v>77</v>
      </c>
      <c r="B2" s="20">
        <f>COUNTIF(CalibrationTable[Error Category],"Hallucination")</f>
        <v>2</v>
      </c>
      <c r="D2" s="14" t="s">
        <v>34</v>
      </c>
      <c r="E2" s="20">
        <f>COUNTIF(CalibrationTable[Final Consensus Decision],"Accept")</f>
        <v>16</v>
      </c>
      <c r="G2" s="25" t="s">
        <v>53</v>
      </c>
      <c r="H2" s="26">
        <v>1</v>
      </c>
      <c r="J2" s="25" t="s">
        <v>83</v>
      </c>
      <c r="K2" s="26">
        <v>1</v>
      </c>
      <c r="M2" s="25" t="s">
        <v>34</v>
      </c>
      <c r="N2" s="26">
        <v>16</v>
      </c>
    </row>
    <row r="3" spans="1:14" x14ac:dyDescent="0.35">
      <c r="A3" s="16" t="s">
        <v>68</v>
      </c>
      <c r="B3" s="21">
        <f>COUNTIF(CalibrationTable[Error Category],"Incorrect Facts")</f>
        <v>3</v>
      </c>
      <c r="D3" s="16" t="s">
        <v>46</v>
      </c>
      <c r="E3" s="21">
        <f>COUNTIF(CalibrationTable[Final Consensus Decision],"Accept with Observation")</f>
        <v>0</v>
      </c>
      <c r="G3" s="27" t="s">
        <v>77</v>
      </c>
      <c r="H3" s="28">
        <v>2</v>
      </c>
      <c r="J3" s="27" t="s">
        <v>54</v>
      </c>
      <c r="K3" s="28">
        <v>5</v>
      </c>
      <c r="M3" s="27" t="s">
        <v>76</v>
      </c>
      <c r="N3" s="28">
        <v>2</v>
      </c>
    </row>
    <row r="4" spans="1:14" x14ac:dyDescent="0.35">
      <c r="A4" s="14" t="s">
        <v>72</v>
      </c>
      <c r="B4" s="20">
        <f>COUNTIF(CalibrationTable[Error Category],"Incomplete Answer")</f>
        <v>1</v>
      </c>
      <c r="D4" s="14" t="s">
        <v>145</v>
      </c>
      <c r="E4" s="20">
        <f>COUNTIF(CalibrationTable[Final Consensus Decision],"Monitor")</f>
        <v>0</v>
      </c>
      <c r="G4" s="27" t="s">
        <v>68</v>
      </c>
      <c r="H4" s="28">
        <v>3</v>
      </c>
      <c r="J4" s="27" t="s">
        <v>36</v>
      </c>
      <c r="K4" s="28">
        <v>16</v>
      </c>
      <c r="M4" s="27" t="s">
        <v>45</v>
      </c>
      <c r="N4" s="28">
        <v>6</v>
      </c>
    </row>
    <row r="5" spans="1:14" x14ac:dyDescent="0.35">
      <c r="A5" s="16" t="s">
        <v>82</v>
      </c>
      <c r="B5" s="21">
        <f>COUNTIF(CalibrationTable[Error Category],"Safety Violation")</f>
        <v>1</v>
      </c>
      <c r="D5" s="16" t="s">
        <v>45</v>
      </c>
      <c r="E5" s="21">
        <f>COUNTIF(CalibrationTable[Final Consensus Decision],"Review Required")</f>
        <v>6</v>
      </c>
      <c r="G5" s="27" t="s">
        <v>72</v>
      </c>
      <c r="H5" s="28">
        <v>1</v>
      </c>
      <c r="J5" s="27" t="s">
        <v>48</v>
      </c>
      <c r="K5" s="29">
        <v>3</v>
      </c>
      <c r="M5" s="27" t="s">
        <v>81</v>
      </c>
      <c r="N5" s="29">
        <v>1</v>
      </c>
    </row>
    <row r="6" spans="1:14" x14ac:dyDescent="0.35">
      <c r="A6" s="14" t="s">
        <v>47</v>
      </c>
      <c r="B6" s="20">
        <f>COUNTIF(CalibrationTable[Error Category],"Tone Issue")</f>
        <v>1</v>
      </c>
      <c r="D6" s="14" t="s">
        <v>76</v>
      </c>
      <c r="E6" s="20">
        <f>COUNTIF(CalibrationTable[Final Consensus Decision],"Reject")</f>
        <v>2</v>
      </c>
      <c r="G6" s="27" t="s">
        <v>35</v>
      </c>
      <c r="H6" s="28">
        <v>16</v>
      </c>
      <c r="J6" s="30" t="s">
        <v>146</v>
      </c>
      <c r="K6" s="31">
        <v>25</v>
      </c>
      <c r="M6" s="30" t="s">
        <v>146</v>
      </c>
      <c r="N6" s="31">
        <v>25</v>
      </c>
    </row>
    <row r="7" spans="1:14" x14ac:dyDescent="0.35">
      <c r="A7" s="16" t="s">
        <v>53</v>
      </c>
      <c r="B7" s="21">
        <f>COUNTIF(CalibrationTable[Error Category],"Bias")</f>
        <v>1</v>
      </c>
      <c r="D7" s="16" t="s">
        <v>81</v>
      </c>
      <c r="E7" s="21">
        <f>COUNTIF(CalibrationTable[Final Consensus Decision],"Escalate")</f>
        <v>1</v>
      </c>
      <c r="G7" s="27" t="s">
        <v>82</v>
      </c>
      <c r="H7" s="28">
        <v>1</v>
      </c>
    </row>
    <row r="8" spans="1:14" x14ac:dyDescent="0.35">
      <c r="A8" s="14"/>
      <c r="B8" s="20"/>
      <c r="G8" s="27" t="s">
        <v>47</v>
      </c>
      <c r="H8" s="29">
        <v>1</v>
      </c>
    </row>
    <row r="9" spans="1:14" x14ac:dyDescent="0.35">
      <c r="A9" s="16"/>
      <c r="B9" s="21"/>
      <c r="G9" s="30" t="s">
        <v>146</v>
      </c>
      <c r="H9" s="31">
        <v>25</v>
      </c>
    </row>
    <row r="10" spans="1:14" x14ac:dyDescent="0.35">
      <c r="A10" s="14"/>
      <c r="B10" s="20"/>
    </row>
    <row r="11" spans="1:14" x14ac:dyDescent="0.35">
      <c r="A11" s="16"/>
      <c r="B11" s="21"/>
    </row>
    <row r="12" spans="1:14" x14ac:dyDescent="0.35">
      <c r="A12" s="14"/>
      <c r="B12" s="20"/>
    </row>
    <row r="13" spans="1:14" x14ac:dyDescent="0.35">
      <c r="A13" s="16"/>
      <c r="B13" s="21"/>
    </row>
    <row r="14" spans="1:14" x14ac:dyDescent="0.35">
      <c r="A14" s="14"/>
      <c r="B14" s="20"/>
    </row>
    <row r="16" spans="1:14" x14ac:dyDescent="0.35">
      <c r="A16" s="12"/>
      <c r="B16" s="12"/>
    </row>
    <row r="17" spans="1:2" x14ac:dyDescent="0.35">
      <c r="A17" s="14"/>
      <c r="B17" s="20"/>
    </row>
    <row r="18" spans="1:2" x14ac:dyDescent="0.35">
      <c r="A18" s="16"/>
      <c r="B18" s="21"/>
    </row>
    <row r="19" spans="1:2" x14ac:dyDescent="0.35">
      <c r="A19" s="14"/>
      <c r="B19" s="20"/>
    </row>
    <row r="20" spans="1:2" x14ac:dyDescent="0.35">
      <c r="A20" s="16"/>
      <c r="B20" s="21"/>
    </row>
    <row r="22" spans="1:2" ht="15" customHeight="1" x14ac:dyDescent="0.35">
      <c r="A22" s="19"/>
    </row>
  </sheetData>
  <pageMargins left="0.75" right="0.75" top="1" bottom="1" header="0.511811023622047" footer="0.511811023622047"/>
  <pageSetup paperSize="9" orientation="portrait" horizontalDpi="300" verticalDpi="30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Workbook_Overview</vt:lpstr>
      <vt:lpstr>Calibration_Dataset</vt:lpstr>
      <vt:lpstr>Calibration_Summary</vt:lpstr>
      <vt:lpstr>Disagreement_Analysis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Poulami Roy Chowdhury</cp:lastModifiedBy>
  <cp:revision>2</cp:revision>
  <dcterms:created xsi:type="dcterms:W3CDTF">2026-07-10T22:15:08Z</dcterms:created>
  <dcterms:modified xsi:type="dcterms:W3CDTF">2026-07-18T22:19:32Z</dcterms:modified>
  <dc:language>en-US</dc:language>
</cp:coreProperties>
</file>